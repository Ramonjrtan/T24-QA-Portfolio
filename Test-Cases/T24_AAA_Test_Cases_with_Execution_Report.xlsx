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24_AAA_Test_Cases" sheetId="1" state="visible" r:id="rId1"/>
    <sheet xmlns:r="http://schemas.openxmlformats.org/officeDocument/2006/relationships" name="Execution_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1F1F1F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1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/>
    </xf>
    <xf numFmtId="0" fontId="1" fillId="4" borderId="0" pivotButton="0" quotePrefix="0" xfId="0"/>
    <xf numFmtId="0" fontId="1" fillId="0" borderId="2" pivotButton="0" quotePrefix="0" xfId="0"/>
    <xf numFmtId="0" fontId="0" fillId="5" borderId="2" applyAlignment="1" pivotButton="0" quotePrefix="0" xfId="0">
      <alignment horizontal="center"/>
    </xf>
    <xf numFmtId="0" fontId="2" fillId="2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164" fontId="0" fillId="5" borderId="2" applyAlignment="1" pivotButton="0" quotePrefix="0" xfId="0">
      <alignment horizontal="center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D9E1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AAA_Test_Cases" displayName="AAA_Test_Cases" ref="A1:I16" headerRowCount="1">
  <autoFilter ref="A1:I16"/>
  <tableColumns count="9">
    <tableColumn id="1" name="Test Case ID"/>
    <tableColumn id="2" name="AAA Area"/>
    <tableColumn id="3" name="Module"/>
    <tableColumn id="4" name="Objective"/>
    <tableColumn id="5" name="Precondition"/>
    <tableColumn id="6" name="Steps"/>
    <tableColumn id="7" name="Expected Result"/>
    <tableColumn id="8" name="Actual Result"/>
    <tableColumn id="9" name="Status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40" customWidth="1" min="4" max="4"/>
    <col width="35" customWidth="1" min="5" max="5"/>
    <col width="45" customWidth="1" min="6" max="6"/>
    <col width="40" customWidth="1" min="7" max="7"/>
    <col width="20" customWidth="1" min="8" max="8"/>
    <col width="12" customWidth="1" min="9" max="9"/>
  </cols>
  <sheetData>
    <row r="1">
      <c r="A1" s="4" t="inlineStr">
        <is>
          <t>Test Case ID</t>
        </is>
      </c>
      <c r="B1" s="4" t="inlineStr">
        <is>
          <t>AAA Area</t>
        </is>
      </c>
      <c r="C1" s="4" t="inlineStr">
        <is>
          <t>Module</t>
        </is>
      </c>
      <c r="D1" s="4" t="inlineStr">
        <is>
          <t>Objective</t>
        </is>
      </c>
      <c r="E1" s="4" t="inlineStr">
        <is>
          <t>Precondition</t>
        </is>
      </c>
      <c r="F1" s="4" t="inlineStr">
        <is>
          <t>Steps</t>
        </is>
      </c>
      <c r="G1" s="4" t="inlineStr">
        <is>
          <t>Expected Result</t>
        </is>
      </c>
      <c r="H1" s="4" t="inlineStr">
        <is>
          <t>Actual Result</t>
        </is>
      </c>
      <c r="I1" s="4" t="inlineStr">
        <is>
          <t>Status</t>
        </is>
      </c>
    </row>
    <row r="2">
      <c r="A2" s="5" t="inlineStr">
        <is>
          <t>T24-AAA-AUTHN-001</t>
        </is>
      </c>
      <c r="B2" s="5" t="inlineStr">
        <is>
          <t>Authentication</t>
        </is>
      </c>
      <c r="C2" s="5" t="inlineStr">
        <is>
          <t>Login</t>
        </is>
      </c>
      <c r="D2" s="5" t="inlineStr">
        <is>
          <t>Verify valid user can log in successfully</t>
        </is>
      </c>
      <c r="E2" s="5" t="inlineStr">
        <is>
          <t>Active user account exists</t>
        </is>
      </c>
      <c r="F2" s="5" t="inlineStr">
        <is>
          <t>Open T24 login page
Enter valid username
Enter valid password
Click Sign In</t>
        </is>
      </c>
      <c r="G2" s="5" t="inlineStr">
        <is>
          <t>Login successful; user lands on assigned home page/menu</t>
        </is>
      </c>
      <c r="H2" s="5" t="inlineStr"/>
      <c r="I2" s="5" t="inlineStr"/>
    </row>
    <row r="3">
      <c r="A3" s="5" t="inlineStr">
        <is>
          <t>T24-AAA-AUTHN-002</t>
        </is>
      </c>
      <c r="B3" s="5" t="inlineStr">
        <is>
          <t>Authentication</t>
        </is>
      </c>
      <c r="C3" s="5" t="inlineStr">
        <is>
          <t>Login</t>
        </is>
      </c>
      <c r="D3" s="5" t="inlineStr">
        <is>
          <t>Verify invalid password is rejected</t>
        </is>
      </c>
      <c r="E3" s="5" t="inlineStr">
        <is>
          <t>Active user account exists</t>
        </is>
      </c>
      <c r="F3" s="5" t="inlineStr">
        <is>
          <t>Open T24 login page
Enter valid username
Enter invalid password
Click Sign In</t>
        </is>
      </c>
      <c r="G3" s="5" t="inlineStr">
        <is>
          <t>Login rejected; error message displayed; access denied</t>
        </is>
      </c>
      <c r="H3" s="5" t="inlineStr"/>
      <c r="I3" s="5" t="inlineStr"/>
    </row>
    <row r="4">
      <c r="A4" s="5" t="inlineStr">
        <is>
          <t>T24-AAA-AUTHN-003</t>
        </is>
      </c>
      <c r="B4" s="5" t="inlineStr">
        <is>
          <t>Authentication</t>
        </is>
      </c>
      <c r="C4" s="5" t="inlineStr">
        <is>
          <t>Login</t>
        </is>
      </c>
      <c r="D4" s="5" t="inlineStr">
        <is>
          <t>Verify locked user cannot log in</t>
        </is>
      </c>
      <c r="E4" s="5" t="inlineStr">
        <is>
          <t>User account is locked</t>
        </is>
      </c>
      <c r="F4" s="5" t="inlineStr">
        <is>
          <t>Open T24 login page
Enter locked username
Enter correct password
Click Sign In</t>
        </is>
      </c>
      <c r="G4" s="5" t="inlineStr">
        <is>
          <t>Login rejected; locked account message displayed</t>
        </is>
      </c>
      <c r="H4" s="5" t="inlineStr"/>
      <c r="I4" s="5" t="inlineStr"/>
    </row>
    <row r="5">
      <c r="A5" s="5" t="inlineStr">
        <is>
          <t>T24-AAA-AUTHN-004</t>
        </is>
      </c>
      <c r="B5" s="5" t="inlineStr">
        <is>
          <t>Authentication</t>
        </is>
      </c>
      <c r="C5" s="5" t="inlineStr">
        <is>
          <t>Session</t>
        </is>
      </c>
      <c r="D5" s="5" t="inlineStr">
        <is>
          <t>Verify session timeout works correctly</t>
        </is>
      </c>
      <c r="E5" s="5" t="inlineStr">
        <is>
          <t>User is logged in</t>
        </is>
      </c>
      <c r="F5" s="5" t="inlineStr">
        <is>
          <t>Log in to T24
Stay idle until timeout
Attempt navigation</t>
        </is>
      </c>
      <c r="G5" s="5" t="inlineStr">
        <is>
          <t>Session expires; redirected to login; no continuation without re-login</t>
        </is>
      </c>
      <c r="H5" s="5" t="inlineStr"/>
      <c r="I5" s="5" t="inlineStr"/>
    </row>
    <row r="6">
      <c r="A6" s="5" t="inlineStr">
        <is>
          <t>T24-AAA-AUTHZ-001</t>
        </is>
      </c>
      <c r="B6" s="5" t="inlineStr">
        <is>
          <t>Authorization</t>
        </is>
      </c>
      <c r="C6" s="5" t="inlineStr">
        <is>
          <t>ACCOUNT</t>
        </is>
      </c>
      <c r="D6" s="5" t="inlineStr">
        <is>
          <t>Verify maker cannot authorize own record</t>
        </is>
      </c>
      <c r="E6" s="5" t="inlineStr">
        <is>
          <t>Maker has input access only</t>
        </is>
      </c>
      <c r="F6" s="5" t="inlineStr">
        <is>
          <t>Log in as maker
Create ACCOUNT record
Commit
Attempt to authorize same record</t>
        </is>
      </c>
      <c r="G6" s="5" t="inlineStr">
        <is>
          <t>Record in NAU; maker cannot authorize; access denied</t>
        </is>
      </c>
      <c r="H6" s="5" t="inlineStr"/>
      <c r="I6" s="5" t="inlineStr"/>
    </row>
    <row r="7">
      <c r="A7" s="5" t="inlineStr">
        <is>
          <t>T24-AAA-AUTHZ-002</t>
        </is>
      </c>
      <c r="B7" s="5" t="inlineStr">
        <is>
          <t>Authorization</t>
        </is>
      </c>
      <c r="C7" s="5" t="inlineStr">
        <is>
          <t>ACCOUNT</t>
        </is>
      </c>
      <c r="D7" s="5" t="inlineStr">
        <is>
          <t>Verify checker can authorize pending record</t>
        </is>
      </c>
      <c r="E7" s="5" t="inlineStr">
        <is>
          <t>Checker has authorization rights; NAU exists</t>
        </is>
      </c>
      <c r="F7" s="5" t="inlineStr">
        <is>
          <t>Log in as checker
Open pending ACCOUNT
Authorize</t>
        </is>
      </c>
      <c r="G7" s="5" t="inlineStr">
        <is>
          <t>Record moves NAU → LIVE; authorization succeeds</t>
        </is>
      </c>
      <c r="H7" s="5" t="inlineStr"/>
      <c r="I7" s="5" t="inlineStr"/>
    </row>
    <row r="8">
      <c r="A8" s="5" t="inlineStr">
        <is>
          <t>T24-AAA-AUTHZ-003</t>
        </is>
      </c>
      <c r="B8" s="5" t="inlineStr">
        <is>
          <t>Authorization</t>
        </is>
      </c>
      <c r="C8" s="5" t="inlineStr">
        <is>
          <t>FUNDS TRANSFER</t>
        </is>
      </c>
      <c r="D8" s="5" t="inlineStr">
        <is>
          <t>Verify unauthorized user cannot access FT</t>
        </is>
      </c>
      <c r="E8" s="5" t="inlineStr">
        <is>
          <t>User lacks FT access</t>
        </is>
      </c>
      <c r="F8" s="5" t="inlineStr">
        <is>
          <t>Log in as restricted user
Attempt to open FT</t>
        </is>
      </c>
      <c r="G8" s="5" t="inlineStr">
        <is>
          <t>Access denied; FT not opened</t>
        </is>
      </c>
      <c r="H8" s="5" t="inlineStr"/>
      <c r="I8" s="5" t="inlineStr"/>
    </row>
    <row r="9">
      <c r="A9" s="5" t="inlineStr">
        <is>
          <t>T24-AAA-AUTHZ-004</t>
        </is>
      </c>
      <c r="B9" s="5" t="inlineStr">
        <is>
          <t>Authorization</t>
        </is>
      </c>
      <c r="C9" s="5" t="inlineStr">
        <is>
          <t>Menu / Roles</t>
        </is>
      </c>
      <c r="D9" s="5" t="inlineStr">
        <is>
          <t>Verify menu visibility by role</t>
        </is>
      </c>
      <c r="E9" s="5" t="inlineStr">
        <is>
          <t>Role-based menus configured</t>
        </is>
      </c>
      <c r="F9" s="5" t="inlineStr">
        <is>
          <t>Log in as User A
Check menu
Log in as User B
Compare menus</t>
        </is>
      </c>
      <c r="G9" s="5" t="inlineStr">
        <is>
          <t>Users see only authorized menus/functions</t>
        </is>
      </c>
      <c r="H9" s="5" t="inlineStr"/>
      <c r="I9" s="5" t="inlineStr"/>
    </row>
    <row r="10">
      <c r="A10" s="5" t="inlineStr">
        <is>
          <t>T24-AAA-AUTHZ-005</t>
        </is>
      </c>
      <c r="B10" s="5" t="inlineStr">
        <is>
          <t>Authorization</t>
        </is>
      </c>
      <c r="C10" s="5" t="inlineStr">
        <is>
          <t>CUSTOMER</t>
        </is>
      </c>
      <c r="D10" s="5" t="inlineStr">
        <is>
          <t>Verify delete blocked without permission</t>
        </is>
      </c>
      <c r="E10" s="5" t="inlineStr">
        <is>
          <t>User lacks delete permission</t>
        </is>
      </c>
      <c r="F10" s="5" t="inlineStr">
        <is>
          <t>Log in as restricted user
Open CUSTOMER
Attempt delete</t>
        </is>
      </c>
      <c r="G10" s="5" t="inlineStr">
        <is>
          <t>Delete not allowed; access denied</t>
        </is>
      </c>
      <c r="H10" s="5" t="inlineStr"/>
      <c r="I10" s="5" t="inlineStr"/>
    </row>
    <row r="11">
      <c r="A11" s="5" t="inlineStr">
        <is>
          <t>T24-AAA-ACC-001</t>
        </is>
      </c>
      <c r="B11" s="5" t="inlineStr">
        <is>
          <t>Accounting</t>
        </is>
      </c>
      <c r="C11" s="5" t="inlineStr">
        <is>
          <t>FUNDS TRANSFER</t>
        </is>
      </c>
      <c r="D11" s="5" t="inlineStr">
        <is>
          <t>Verify debit and credit entries are balanced</t>
        </is>
      </c>
      <c r="E11" s="5" t="inlineStr">
        <is>
          <t>Valid accounts with sufficient balance</t>
        </is>
      </c>
      <c r="F11" s="5" t="inlineStr">
        <is>
          <t>Create FT
Commit
Authorize
Review entries</t>
        </is>
      </c>
      <c r="G11" s="5" t="inlineStr">
        <is>
          <t>Total debit equals total credit; transaction posted</t>
        </is>
      </c>
      <c r="H11" s="5" t="inlineStr"/>
      <c r="I11" s="5" t="inlineStr"/>
    </row>
    <row r="12">
      <c r="A12" s="5" t="inlineStr">
        <is>
          <t>T24-AAA-ACC-002</t>
        </is>
      </c>
      <c r="B12" s="5" t="inlineStr">
        <is>
          <t>Accounting</t>
        </is>
      </c>
      <c r="C12" s="5" t="inlineStr">
        <is>
          <t>ACCOUNT / STMT.ENTRY</t>
        </is>
      </c>
      <c r="D12" s="5" t="inlineStr">
        <is>
          <t>Verify source balance decreases</t>
        </is>
      </c>
      <c r="E12" s="5" t="inlineStr">
        <is>
          <t>Authorized FT completed</t>
        </is>
      </c>
      <c r="F12" s="5" t="inlineStr">
        <is>
          <t>Note source balance
Perform FT
Authorize
Check balance</t>
        </is>
      </c>
      <c r="G12" s="5" t="inlineStr">
        <is>
          <t>Source balance reduced correctly</t>
        </is>
      </c>
      <c r="H12" s="5" t="inlineStr"/>
      <c r="I12" s="5" t="inlineStr"/>
    </row>
    <row r="13">
      <c r="A13" s="5" t="inlineStr">
        <is>
          <t>T24-AAA-ACC-003</t>
        </is>
      </c>
      <c r="B13" s="5" t="inlineStr">
        <is>
          <t>Accounting</t>
        </is>
      </c>
      <c r="C13" s="5" t="inlineStr">
        <is>
          <t>ACCOUNT / STMT.ENTRY</t>
        </is>
      </c>
      <c r="D13" s="5" t="inlineStr">
        <is>
          <t>Verify destination balance increases</t>
        </is>
      </c>
      <c r="E13" s="5" t="inlineStr">
        <is>
          <t>Authorized FT completed</t>
        </is>
      </c>
      <c r="F13" s="5" t="inlineStr">
        <is>
          <t>Note destination balance
Perform FT
Authorize
Check balance</t>
        </is>
      </c>
      <c r="G13" s="5" t="inlineStr">
        <is>
          <t>Destination balance increased correctly</t>
        </is>
      </c>
      <c r="H13" s="5" t="inlineStr"/>
      <c r="I13" s="5" t="inlineStr"/>
    </row>
    <row r="14">
      <c r="A14" s="5" t="inlineStr">
        <is>
          <t>T24-AAA-ACC-004</t>
        </is>
      </c>
      <c r="B14" s="5" t="inlineStr">
        <is>
          <t>Accounting</t>
        </is>
      </c>
      <c r="C14" s="5" t="inlineStr">
        <is>
          <t>FUNDS TRANSFER</t>
        </is>
      </c>
      <c r="D14" s="5" t="inlineStr">
        <is>
          <t>Verify no posting for unauthorized transaction</t>
        </is>
      </c>
      <c r="E14" s="5" t="inlineStr">
        <is>
          <t>FT created but not authorized</t>
        </is>
      </c>
      <c r="F14" s="5" t="inlineStr">
        <is>
          <t>Create FT
Commit only
Check balances</t>
        </is>
      </c>
      <c r="G14" s="5" t="inlineStr">
        <is>
          <t>No balance change; record remains in NAU</t>
        </is>
      </c>
      <c r="H14" s="5" t="inlineStr"/>
      <c r="I14" s="5" t="inlineStr"/>
    </row>
    <row r="15">
      <c r="A15" s="5" t="inlineStr">
        <is>
          <t>T24-AAA-ACC-005</t>
        </is>
      </c>
      <c r="B15" s="5" t="inlineStr">
        <is>
          <t>Accounting</t>
        </is>
      </c>
      <c r="C15" s="5" t="inlineStr">
        <is>
          <t>Reversal</t>
        </is>
      </c>
      <c r="D15" s="5" t="inlineStr">
        <is>
          <t>Verify reversal offsets original entries</t>
        </is>
      </c>
      <c r="E15" s="5" t="inlineStr">
        <is>
          <t>Authorized FT exists</t>
        </is>
      </c>
      <c r="F15" s="5" t="inlineStr">
        <is>
          <t>Open FT
Perform reversal
Check balances</t>
        </is>
      </c>
      <c r="G15" s="5" t="inlineStr">
        <is>
          <t>Reversal entries correct; balances adjusted; audit trail maintained</t>
        </is>
      </c>
      <c r="H15" s="5" t="inlineStr"/>
      <c r="I15" s="5" t="inlineStr"/>
    </row>
    <row r="16">
      <c r="A16" s="5" t="inlineStr">
        <is>
          <t>T24-AAA-E2E-001</t>
        </is>
      </c>
      <c r="B16" s="5" t="inlineStr">
        <is>
          <t>Authentication/Authorization/Accounting</t>
        </is>
      </c>
      <c r="C16" s="5" t="inlineStr">
        <is>
          <t>FUNDS TRANSFER</t>
        </is>
      </c>
      <c r="D16" s="5" t="inlineStr">
        <is>
          <t>Verify full AAA flow maker-checker</t>
        </is>
      </c>
      <c r="E16" s="5" t="inlineStr">
        <is>
          <t>Maker &amp; checker exist; accounts active</t>
        </is>
      </c>
      <c r="F16" s="5" t="inlineStr">
        <is>
          <t>Log in as maker
Create FT
Commit
Log out
Log in as checker
Authorize
Verify balances</t>
        </is>
      </c>
      <c r="G16" s="5" t="inlineStr">
        <is>
          <t>Maker cannot self-authorize; checker authorizes; postings correct; audit trail ok</t>
        </is>
      </c>
      <c r="H16" s="5" t="inlineStr"/>
      <c r="I16" s="5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9" max="9"/>
    <col width="18" customWidth="1" min="10" max="10"/>
    <col width="14" customWidth="1" min="11" max="11"/>
    <col width="14" customWidth="1" min="12" max="12"/>
    <col width="14" customWidth="1" min="13" max="13"/>
    <col width="14" customWidth="1" min="14" max="14"/>
    <col width="18" customWidth="1" min="16" max="16"/>
    <col width="22" customWidth="1" min="17" max="17"/>
    <col width="22" customWidth="1" min="18" max="18"/>
    <col width="18" customWidth="1" min="19" max="19"/>
  </cols>
  <sheetData>
    <row r="1">
      <c r="A1" s="6" t="inlineStr">
        <is>
          <t>T24 AAA Execution Report</t>
        </is>
      </c>
    </row>
    <row r="3">
      <c r="A3" s="7" t="inlineStr">
        <is>
          <t>Execution Summary</t>
        </is>
      </c>
      <c r="D3" s="7" t="inlineStr">
        <is>
          <t>Summary by AAA Area</t>
        </is>
      </c>
      <c r="K3" s="7" t="inlineStr">
        <is>
          <t>Summary by Module</t>
        </is>
      </c>
    </row>
    <row r="4">
      <c r="A4" s="8" t="inlineStr">
        <is>
          <t>Total Cases</t>
        </is>
      </c>
      <c r="B4" s="9">
        <f>COUNTA('T24_AAA_Test_Cases'!A:A)-1</f>
        <v/>
      </c>
      <c r="D4" s="10" t="inlineStr">
        <is>
          <t>AAA Area</t>
        </is>
      </c>
      <c r="E4" s="10" t="inlineStr">
        <is>
          <t>Total</t>
        </is>
      </c>
      <c r="F4" s="10" t="inlineStr">
        <is>
          <t>Pass</t>
        </is>
      </c>
      <c r="G4" s="10" t="inlineStr">
        <is>
          <t>Fail</t>
        </is>
      </c>
      <c r="H4" s="10" t="inlineStr">
        <is>
          <t>Blocked</t>
        </is>
      </c>
      <c r="I4" s="10" t="inlineStr">
        <is>
          <t>Not Run</t>
        </is>
      </c>
      <c r="K4" s="10" t="inlineStr">
        <is>
          <t>Module</t>
        </is>
      </c>
      <c r="L4" s="10" t="inlineStr">
        <is>
          <t>Total</t>
        </is>
      </c>
      <c r="M4" s="10" t="inlineStr">
        <is>
          <t>Pass</t>
        </is>
      </c>
      <c r="N4" s="10" t="inlineStr">
        <is>
          <t>Fail</t>
        </is>
      </c>
      <c r="O4" s="10" t="inlineStr">
        <is>
          <t>Blocked</t>
        </is>
      </c>
      <c r="P4" s="10" t="inlineStr">
        <is>
          <t>Not Run</t>
        </is>
      </c>
    </row>
    <row r="5">
      <c r="A5" s="8" t="inlineStr">
        <is>
          <t>Passed</t>
        </is>
      </c>
      <c r="B5" s="9">
        <f>COUNTIF('T24_AAA_Test_Cases'!I:I,"Pass")</f>
        <v/>
      </c>
      <c r="D5" s="11" t="inlineStr">
        <is>
          <t>Authentication</t>
        </is>
      </c>
      <c r="E5" s="11">
        <f>COUNTIF('T24_AAA_Test_Cases'!B:B,D5)</f>
        <v/>
      </c>
      <c r="F5" s="11">
        <f>COUNTIFS('T24_AAA_Test_Cases'!B:B,D5,'T24_AAA_Test_Cases'!I:I,"Pass")</f>
        <v/>
      </c>
      <c r="G5" s="11">
        <f>COUNTIFS('T24_AAA_Test_Cases'!B:B,D5,'T24_AAA_Test_Cases'!I:I,"Fail")</f>
        <v/>
      </c>
      <c r="H5" s="11">
        <f>COUNTIFS('T24_AAA_Test_Cases'!B:B,D5,'T24_AAA_Test_Cases'!I:I,"Blocked")</f>
        <v/>
      </c>
      <c r="I5" s="11">
        <f>COUNTIFS('T24_AAA_Test_Cases'!B:B,D5,'T24_AAA_Test_Cases'!I:I,"Not Run")+COUNTIFS('T24_AAA_Test_Cases'!B:B,D5,'T24_AAA_Test_Cases'!I:I,"")</f>
        <v/>
      </c>
      <c r="K5" s="11" t="inlineStr">
        <is>
          <t>Login</t>
        </is>
      </c>
      <c r="L5" s="11">
        <f>COUNTIF('T24_AAA_Test_Cases'!C:C,K5)</f>
        <v/>
      </c>
      <c r="M5" s="11">
        <f>COUNTIFS('T24_AAA_Test_Cases'!C:C,K5,'T24_AAA_Test_Cases'!I:I,"Pass")</f>
        <v/>
      </c>
      <c r="N5" s="11">
        <f>COUNTIFS('T24_AAA_Test_Cases'!C:C,K5,'T24_AAA_Test_Cases'!I:I,"Fail")</f>
        <v/>
      </c>
      <c r="O5" s="11">
        <f>COUNTIFS('T24_AAA_Test_Cases'!C:C,K5,'T24_AAA_Test_Cases'!I:I,"Blocked")</f>
        <v/>
      </c>
      <c r="P5" s="11">
        <f>COUNTIFS('T24_AAA_Test_Cases'!C:C,K5,'T24_AAA_Test_Cases'!I:I,"Not Run")+COUNTIFS('T24_AAA_Test_Cases'!C:C,K5,'T24_AAA_Test_Cases'!I:I,"")</f>
        <v/>
      </c>
    </row>
    <row r="6">
      <c r="A6" s="8" t="inlineStr">
        <is>
          <t>Failed</t>
        </is>
      </c>
      <c r="B6" s="9">
        <f>COUNTIF('T24_AAA_Test_Cases'!I:I,"Fail")</f>
        <v/>
      </c>
      <c r="D6" s="11" t="inlineStr">
        <is>
          <t>Authorization</t>
        </is>
      </c>
      <c r="E6" s="11">
        <f>COUNTIF('T24_AAA_Test_Cases'!B:B,D6)</f>
        <v/>
      </c>
      <c r="F6" s="11">
        <f>COUNTIFS('T24_AAA_Test_Cases'!B:B,D6,'T24_AAA_Test_Cases'!I:I,"Pass")</f>
        <v/>
      </c>
      <c r="G6" s="11">
        <f>COUNTIFS('T24_AAA_Test_Cases'!B:B,D6,'T24_AAA_Test_Cases'!I:I,"Fail")</f>
        <v/>
      </c>
      <c r="H6" s="11">
        <f>COUNTIFS('T24_AAA_Test_Cases'!B:B,D6,'T24_AAA_Test_Cases'!I:I,"Blocked")</f>
        <v/>
      </c>
      <c r="I6" s="11">
        <f>COUNTIFS('T24_AAA_Test_Cases'!B:B,D6,'T24_AAA_Test_Cases'!I:I,"Not Run")+COUNTIFS('T24_AAA_Test_Cases'!B:B,D6,'T24_AAA_Test_Cases'!I:I,"")</f>
        <v/>
      </c>
      <c r="K6" s="11" t="inlineStr">
        <is>
          <t>Session</t>
        </is>
      </c>
      <c r="L6" s="11">
        <f>COUNTIF('T24_AAA_Test_Cases'!C:C,K6)</f>
        <v/>
      </c>
      <c r="M6" s="11">
        <f>COUNTIFS('T24_AAA_Test_Cases'!C:C,K6,'T24_AAA_Test_Cases'!I:I,"Pass")</f>
        <v/>
      </c>
      <c r="N6" s="11">
        <f>COUNTIFS('T24_AAA_Test_Cases'!C:C,K6,'T24_AAA_Test_Cases'!I:I,"Fail")</f>
        <v/>
      </c>
      <c r="O6" s="11">
        <f>COUNTIFS('T24_AAA_Test_Cases'!C:C,K6,'T24_AAA_Test_Cases'!I:I,"Blocked")</f>
        <v/>
      </c>
      <c r="P6" s="11">
        <f>COUNTIFS('T24_AAA_Test_Cases'!C:C,K6,'T24_AAA_Test_Cases'!I:I,"Not Run")+COUNTIFS('T24_AAA_Test_Cases'!C:C,K6,'T24_AAA_Test_Cases'!I:I,"")</f>
        <v/>
      </c>
    </row>
    <row r="7">
      <c r="A7" s="8" t="inlineStr">
        <is>
          <t>Blocked</t>
        </is>
      </c>
      <c r="B7" s="9">
        <f>COUNTIF('T24_AAA_Test_Cases'!I:I,"Blocked")</f>
        <v/>
      </c>
      <c r="D7" s="11" t="inlineStr">
        <is>
          <t>Accounting</t>
        </is>
      </c>
      <c r="E7" s="11">
        <f>COUNTIF('T24_AAA_Test_Cases'!B:B,D7)</f>
        <v/>
      </c>
      <c r="F7" s="11">
        <f>COUNTIFS('T24_AAA_Test_Cases'!B:B,D7,'T24_AAA_Test_Cases'!I:I,"Pass")</f>
        <v/>
      </c>
      <c r="G7" s="11">
        <f>COUNTIFS('T24_AAA_Test_Cases'!B:B,D7,'T24_AAA_Test_Cases'!I:I,"Fail")</f>
        <v/>
      </c>
      <c r="H7" s="11">
        <f>COUNTIFS('T24_AAA_Test_Cases'!B:B,D7,'T24_AAA_Test_Cases'!I:I,"Blocked")</f>
        <v/>
      </c>
      <c r="I7" s="11">
        <f>COUNTIFS('T24_AAA_Test_Cases'!B:B,D7,'T24_AAA_Test_Cases'!I:I,"Not Run")+COUNTIFS('T24_AAA_Test_Cases'!B:B,D7,'T24_AAA_Test_Cases'!I:I,"")</f>
        <v/>
      </c>
      <c r="K7" s="11" t="inlineStr">
        <is>
          <t>ACCOUNT</t>
        </is>
      </c>
      <c r="L7" s="11">
        <f>COUNTIF('T24_AAA_Test_Cases'!C:C,K7)</f>
        <v/>
      </c>
      <c r="M7" s="11">
        <f>COUNTIFS('T24_AAA_Test_Cases'!C:C,K7,'T24_AAA_Test_Cases'!I:I,"Pass")</f>
        <v/>
      </c>
      <c r="N7" s="11">
        <f>COUNTIFS('T24_AAA_Test_Cases'!C:C,K7,'T24_AAA_Test_Cases'!I:I,"Fail")</f>
        <v/>
      </c>
      <c r="O7" s="11">
        <f>COUNTIFS('T24_AAA_Test_Cases'!C:C,K7,'T24_AAA_Test_Cases'!I:I,"Blocked")</f>
        <v/>
      </c>
      <c r="P7" s="11">
        <f>COUNTIFS('T24_AAA_Test_Cases'!C:C,K7,'T24_AAA_Test_Cases'!I:I,"Not Run")+COUNTIFS('T24_AAA_Test_Cases'!C:C,K7,'T24_AAA_Test_Cases'!I:I,"")</f>
        <v/>
      </c>
    </row>
    <row r="8">
      <c r="A8" s="8" t="inlineStr">
        <is>
          <t>Not Run</t>
        </is>
      </c>
      <c r="B8" s="9">
        <f>COUNTIF('T24_AAA_Test_Cases'!I:I,"Not Run")+COUNTBLANK('T24_AAA_Test_Cases'!I2:I1048576)</f>
        <v/>
      </c>
      <c r="D8" s="11" t="inlineStr">
        <is>
          <t>Authentication/Authorization/Accounting</t>
        </is>
      </c>
      <c r="E8" s="11">
        <f>COUNTIF('T24_AAA_Test_Cases'!B:B,D8)</f>
        <v/>
      </c>
      <c r="F8" s="11">
        <f>COUNTIFS('T24_AAA_Test_Cases'!B:B,D8,'T24_AAA_Test_Cases'!I:I,"Pass")</f>
        <v/>
      </c>
      <c r="G8" s="11">
        <f>COUNTIFS('T24_AAA_Test_Cases'!B:B,D8,'T24_AAA_Test_Cases'!I:I,"Fail")</f>
        <v/>
      </c>
      <c r="H8" s="11">
        <f>COUNTIFS('T24_AAA_Test_Cases'!B:B,D8,'T24_AAA_Test_Cases'!I:I,"Blocked")</f>
        <v/>
      </c>
      <c r="I8" s="11">
        <f>COUNTIFS('T24_AAA_Test_Cases'!B:B,D8,'T24_AAA_Test_Cases'!I:I,"Not Run")+COUNTIFS('T24_AAA_Test_Cases'!B:B,D8,'T24_AAA_Test_Cases'!I:I,"")</f>
        <v/>
      </c>
      <c r="K8" s="11" t="inlineStr">
        <is>
          <t>FUNDS TRANSFER</t>
        </is>
      </c>
      <c r="L8" s="11">
        <f>COUNTIF('T24_AAA_Test_Cases'!C:C,K8)</f>
        <v/>
      </c>
      <c r="M8" s="11">
        <f>COUNTIFS('T24_AAA_Test_Cases'!C:C,K8,'T24_AAA_Test_Cases'!I:I,"Pass")</f>
        <v/>
      </c>
      <c r="N8" s="11">
        <f>COUNTIFS('T24_AAA_Test_Cases'!C:C,K8,'T24_AAA_Test_Cases'!I:I,"Fail")</f>
        <v/>
      </c>
      <c r="O8" s="11">
        <f>COUNTIFS('T24_AAA_Test_Cases'!C:C,K8,'T24_AAA_Test_Cases'!I:I,"Blocked")</f>
        <v/>
      </c>
      <c r="P8" s="11">
        <f>COUNTIFS('T24_AAA_Test_Cases'!C:C,K8,'T24_AAA_Test_Cases'!I:I,"Not Run")+COUNTIFS('T24_AAA_Test_Cases'!C:C,K8,'T24_AAA_Test_Cases'!I:I,"")</f>
        <v/>
      </c>
    </row>
    <row r="9">
      <c r="A9" s="8" t="inlineStr">
        <is>
          <t>Pass Rate</t>
        </is>
      </c>
      <c r="B9" s="12">
        <f>IF(B4=0,0,B5/B4)</f>
        <v/>
      </c>
      <c r="K9" s="11" t="inlineStr">
        <is>
          <t>Menu / Roles</t>
        </is>
      </c>
      <c r="L9" s="11">
        <f>COUNTIF('T24_AAA_Test_Cases'!C:C,K9)</f>
        <v/>
      </c>
      <c r="M9" s="11">
        <f>COUNTIFS('T24_AAA_Test_Cases'!C:C,K9,'T24_AAA_Test_Cases'!I:I,"Pass")</f>
        <v/>
      </c>
      <c r="N9" s="11">
        <f>COUNTIFS('T24_AAA_Test_Cases'!C:C,K9,'T24_AAA_Test_Cases'!I:I,"Fail")</f>
        <v/>
      </c>
      <c r="O9" s="11">
        <f>COUNTIFS('T24_AAA_Test_Cases'!C:C,K9,'T24_AAA_Test_Cases'!I:I,"Blocked")</f>
        <v/>
      </c>
      <c r="P9" s="11">
        <f>COUNTIFS('T24_AAA_Test_Cases'!C:C,K9,'T24_AAA_Test_Cases'!I:I,"Not Run")+COUNTIFS('T24_AAA_Test_Cases'!C:C,K9,'T24_AAA_Test_Cases'!I:I,"")</f>
        <v/>
      </c>
    </row>
    <row r="10">
      <c r="K10" s="11" t="inlineStr">
        <is>
          <t>CUSTOMER</t>
        </is>
      </c>
      <c r="L10" s="11">
        <f>COUNTIF('T24_AAA_Test_Cases'!C:C,K10)</f>
        <v/>
      </c>
      <c r="M10" s="11">
        <f>COUNTIFS('T24_AAA_Test_Cases'!C:C,K10,'T24_AAA_Test_Cases'!I:I,"Pass")</f>
        <v/>
      </c>
      <c r="N10" s="11">
        <f>COUNTIFS('T24_AAA_Test_Cases'!C:C,K10,'T24_AAA_Test_Cases'!I:I,"Fail")</f>
        <v/>
      </c>
      <c r="O10" s="11">
        <f>COUNTIFS('T24_AAA_Test_Cases'!C:C,K10,'T24_AAA_Test_Cases'!I:I,"Blocked")</f>
        <v/>
      </c>
      <c r="P10" s="11">
        <f>COUNTIFS('T24_AAA_Test_Cases'!C:C,K10,'T24_AAA_Test_Cases'!I:I,"Not Run")+COUNTIFS('T24_AAA_Test_Cases'!C:C,K10,'T24_AAA_Test_Cases'!I:I,"")</f>
        <v/>
      </c>
    </row>
    <row r="11">
      <c r="K11" s="11" t="inlineStr">
        <is>
          <t>ACCOUNT / STMT.ENTRY</t>
        </is>
      </c>
      <c r="L11" s="11">
        <f>COUNTIF('T24_AAA_Test_Cases'!C:C,K11)</f>
        <v/>
      </c>
      <c r="M11" s="11">
        <f>COUNTIFS('T24_AAA_Test_Cases'!C:C,K11,'T24_AAA_Test_Cases'!I:I,"Pass")</f>
        <v/>
      </c>
      <c r="N11" s="11">
        <f>COUNTIFS('T24_AAA_Test_Cases'!C:C,K11,'T24_AAA_Test_Cases'!I:I,"Fail")</f>
        <v/>
      </c>
      <c r="O11" s="11">
        <f>COUNTIFS('T24_AAA_Test_Cases'!C:C,K11,'T24_AAA_Test_Cases'!I:I,"Blocked")</f>
        <v/>
      </c>
      <c r="P11" s="11">
        <f>COUNTIFS('T24_AAA_Test_Cases'!C:C,K11,'T24_AAA_Test_Cases'!I:I,"Not Run")+COUNTIFS('T24_AAA_Test_Cases'!C:C,K11,'T24_AAA_Test_Cases'!I:I,"")</f>
        <v/>
      </c>
    </row>
    <row r="12">
      <c r="A12" s="7" t="inlineStr">
        <is>
          <t>Execution Detail (Linked to T24_AAA_Test_Cases)</t>
        </is>
      </c>
      <c r="K12" s="11" t="inlineStr">
        <is>
          <t>Reversal</t>
        </is>
      </c>
      <c r="L12" s="11">
        <f>COUNTIF('T24_AAA_Test_Cases'!C:C,K12)</f>
        <v/>
      </c>
      <c r="M12" s="11">
        <f>COUNTIFS('T24_AAA_Test_Cases'!C:C,K12,'T24_AAA_Test_Cases'!I:I,"Pass")</f>
        <v/>
      </c>
      <c r="N12" s="11">
        <f>COUNTIFS('T24_AAA_Test_Cases'!C:C,K12,'T24_AAA_Test_Cases'!I:I,"Fail")</f>
        <v/>
      </c>
      <c r="O12" s="11">
        <f>COUNTIFS('T24_AAA_Test_Cases'!C:C,K12,'T24_AAA_Test_Cases'!I:I,"Blocked")</f>
        <v/>
      </c>
      <c r="P12" s="11">
        <f>COUNTIFS('T24_AAA_Test_Cases'!C:C,K12,'T24_AAA_Test_Cases'!I:I,"Not Run")+COUNTIFS('T24_AAA_Test_Cases'!C:C,K12,'T24_AAA_Test_Cases'!I:I,"")</f>
        <v/>
      </c>
    </row>
    <row r="13">
      <c r="A13" s="13" t="inlineStr">
        <is>
          <t>Test Case ID</t>
        </is>
      </c>
      <c r="B13" s="13" t="inlineStr">
        <is>
          <t>AAA Area</t>
        </is>
      </c>
      <c r="C13" s="13" t="inlineStr">
        <is>
          <t>Module</t>
        </is>
      </c>
      <c r="D13" s="13" t="inlineStr">
        <is>
          <t>Objective</t>
        </is>
      </c>
      <c r="E13" s="13" t="inlineStr">
        <is>
          <t>Expected Result</t>
        </is>
      </c>
      <c r="F13" s="13" t="inlineStr">
        <is>
          <t>Actual Result</t>
        </is>
      </c>
      <c r="G13" s="13" t="inlineStr">
        <is>
          <t>Status</t>
        </is>
      </c>
    </row>
    <row r="14">
      <c r="A14" s="14">
        <f>'T24_AAA_Test_Cases'!A2</f>
        <v/>
      </c>
      <c r="B14" s="14">
        <f>'T24_AAA_Test_Cases'!B2</f>
        <v/>
      </c>
      <c r="C14" s="14">
        <f>'T24_AAA_Test_Cases'!C2</f>
        <v/>
      </c>
      <c r="D14" s="14">
        <f>'T24_AAA_Test_Cases'!D2</f>
        <v/>
      </c>
      <c r="E14" s="14">
        <f>'T24_AAA_Test_Cases'!G2</f>
        <v/>
      </c>
      <c r="F14" s="14">
        <f>'T24_AAA_Test_Cases'!H2</f>
        <v/>
      </c>
      <c r="G14" s="14">
        <f>'T24_AAA_Test_Cases'!I2</f>
        <v/>
      </c>
    </row>
    <row r="15">
      <c r="A15" s="14">
        <f>'T24_AAA_Test_Cases'!A3</f>
        <v/>
      </c>
      <c r="B15" s="14">
        <f>'T24_AAA_Test_Cases'!B3</f>
        <v/>
      </c>
      <c r="C15" s="14">
        <f>'T24_AAA_Test_Cases'!C3</f>
        <v/>
      </c>
      <c r="D15" s="14">
        <f>'T24_AAA_Test_Cases'!D3</f>
        <v/>
      </c>
      <c r="E15" s="14">
        <f>'T24_AAA_Test_Cases'!G3</f>
        <v/>
      </c>
      <c r="F15" s="14">
        <f>'T24_AAA_Test_Cases'!H3</f>
        <v/>
      </c>
      <c r="G15" s="14">
        <f>'T24_AAA_Test_Cases'!I3</f>
        <v/>
      </c>
    </row>
    <row r="16">
      <c r="A16" s="14">
        <f>'T24_AAA_Test_Cases'!A4</f>
        <v/>
      </c>
      <c r="B16" s="14">
        <f>'T24_AAA_Test_Cases'!B4</f>
        <v/>
      </c>
      <c r="C16" s="14">
        <f>'T24_AAA_Test_Cases'!C4</f>
        <v/>
      </c>
      <c r="D16" s="14">
        <f>'T24_AAA_Test_Cases'!D4</f>
        <v/>
      </c>
      <c r="E16" s="14">
        <f>'T24_AAA_Test_Cases'!G4</f>
        <v/>
      </c>
      <c r="F16" s="14">
        <f>'T24_AAA_Test_Cases'!H4</f>
        <v/>
      </c>
      <c r="G16" s="14">
        <f>'T24_AAA_Test_Cases'!I4</f>
        <v/>
      </c>
    </row>
    <row r="17">
      <c r="A17" s="14">
        <f>'T24_AAA_Test_Cases'!A5</f>
        <v/>
      </c>
      <c r="B17" s="14">
        <f>'T24_AAA_Test_Cases'!B5</f>
        <v/>
      </c>
      <c r="C17" s="14">
        <f>'T24_AAA_Test_Cases'!C5</f>
        <v/>
      </c>
      <c r="D17" s="14">
        <f>'T24_AAA_Test_Cases'!D5</f>
        <v/>
      </c>
      <c r="E17" s="14">
        <f>'T24_AAA_Test_Cases'!G5</f>
        <v/>
      </c>
      <c r="F17" s="14">
        <f>'T24_AAA_Test_Cases'!H5</f>
        <v/>
      </c>
      <c r="G17" s="14">
        <f>'T24_AAA_Test_Cases'!I5</f>
        <v/>
      </c>
    </row>
    <row r="18">
      <c r="A18" s="14">
        <f>'T24_AAA_Test_Cases'!A6</f>
        <v/>
      </c>
      <c r="B18" s="14">
        <f>'T24_AAA_Test_Cases'!B6</f>
        <v/>
      </c>
      <c r="C18" s="14">
        <f>'T24_AAA_Test_Cases'!C6</f>
        <v/>
      </c>
      <c r="D18" s="14">
        <f>'T24_AAA_Test_Cases'!D6</f>
        <v/>
      </c>
      <c r="E18" s="14">
        <f>'T24_AAA_Test_Cases'!G6</f>
        <v/>
      </c>
      <c r="F18" s="14">
        <f>'T24_AAA_Test_Cases'!H6</f>
        <v/>
      </c>
      <c r="G18" s="14">
        <f>'T24_AAA_Test_Cases'!I6</f>
        <v/>
      </c>
    </row>
    <row r="19">
      <c r="A19" s="14">
        <f>'T24_AAA_Test_Cases'!A7</f>
        <v/>
      </c>
      <c r="B19" s="14">
        <f>'T24_AAA_Test_Cases'!B7</f>
        <v/>
      </c>
      <c r="C19" s="14">
        <f>'T24_AAA_Test_Cases'!C7</f>
        <v/>
      </c>
      <c r="D19" s="14">
        <f>'T24_AAA_Test_Cases'!D7</f>
        <v/>
      </c>
      <c r="E19" s="14">
        <f>'T24_AAA_Test_Cases'!G7</f>
        <v/>
      </c>
      <c r="F19" s="14">
        <f>'T24_AAA_Test_Cases'!H7</f>
        <v/>
      </c>
      <c r="G19" s="14">
        <f>'T24_AAA_Test_Cases'!I7</f>
        <v/>
      </c>
    </row>
    <row r="20">
      <c r="A20" s="14">
        <f>'T24_AAA_Test_Cases'!A8</f>
        <v/>
      </c>
      <c r="B20" s="14">
        <f>'T24_AAA_Test_Cases'!B8</f>
        <v/>
      </c>
      <c r="C20" s="14">
        <f>'T24_AAA_Test_Cases'!C8</f>
        <v/>
      </c>
      <c r="D20" s="14">
        <f>'T24_AAA_Test_Cases'!D8</f>
        <v/>
      </c>
      <c r="E20" s="14">
        <f>'T24_AAA_Test_Cases'!G8</f>
        <v/>
      </c>
      <c r="F20" s="14">
        <f>'T24_AAA_Test_Cases'!H8</f>
        <v/>
      </c>
      <c r="G20" s="14">
        <f>'T24_AAA_Test_Cases'!I8</f>
        <v/>
      </c>
    </row>
    <row r="21">
      <c r="A21" s="14">
        <f>'T24_AAA_Test_Cases'!A9</f>
        <v/>
      </c>
      <c r="B21" s="14">
        <f>'T24_AAA_Test_Cases'!B9</f>
        <v/>
      </c>
      <c r="C21" s="14">
        <f>'T24_AAA_Test_Cases'!C9</f>
        <v/>
      </c>
      <c r="D21" s="14">
        <f>'T24_AAA_Test_Cases'!D9</f>
        <v/>
      </c>
      <c r="E21" s="14">
        <f>'T24_AAA_Test_Cases'!G9</f>
        <v/>
      </c>
      <c r="F21" s="14">
        <f>'T24_AAA_Test_Cases'!H9</f>
        <v/>
      </c>
      <c r="G21" s="14">
        <f>'T24_AAA_Test_Cases'!I9</f>
        <v/>
      </c>
    </row>
    <row r="22">
      <c r="A22" s="14">
        <f>'T24_AAA_Test_Cases'!A10</f>
        <v/>
      </c>
      <c r="B22" s="14">
        <f>'T24_AAA_Test_Cases'!B10</f>
        <v/>
      </c>
      <c r="C22" s="14">
        <f>'T24_AAA_Test_Cases'!C10</f>
        <v/>
      </c>
      <c r="D22" s="14">
        <f>'T24_AAA_Test_Cases'!D10</f>
        <v/>
      </c>
      <c r="E22" s="14">
        <f>'T24_AAA_Test_Cases'!G10</f>
        <v/>
      </c>
      <c r="F22" s="14">
        <f>'T24_AAA_Test_Cases'!H10</f>
        <v/>
      </c>
      <c r="G22" s="14">
        <f>'T24_AAA_Test_Cases'!I10</f>
        <v/>
      </c>
    </row>
    <row r="23">
      <c r="A23" s="14">
        <f>'T24_AAA_Test_Cases'!A11</f>
        <v/>
      </c>
      <c r="B23" s="14">
        <f>'T24_AAA_Test_Cases'!B11</f>
        <v/>
      </c>
      <c r="C23" s="14">
        <f>'T24_AAA_Test_Cases'!C11</f>
        <v/>
      </c>
      <c r="D23" s="14">
        <f>'T24_AAA_Test_Cases'!D11</f>
        <v/>
      </c>
      <c r="E23" s="14">
        <f>'T24_AAA_Test_Cases'!G11</f>
        <v/>
      </c>
      <c r="F23" s="14">
        <f>'T24_AAA_Test_Cases'!H11</f>
        <v/>
      </c>
      <c r="G23" s="14">
        <f>'T24_AAA_Test_Cases'!I11</f>
        <v/>
      </c>
    </row>
    <row r="24">
      <c r="A24" s="14">
        <f>'T24_AAA_Test_Cases'!A12</f>
        <v/>
      </c>
      <c r="B24" s="14">
        <f>'T24_AAA_Test_Cases'!B12</f>
        <v/>
      </c>
      <c r="C24" s="14">
        <f>'T24_AAA_Test_Cases'!C12</f>
        <v/>
      </c>
      <c r="D24" s="14">
        <f>'T24_AAA_Test_Cases'!D12</f>
        <v/>
      </c>
      <c r="E24" s="14">
        <f>'T24_AAA_Test_Cases'!G12</f>
        <v/>
      </c>
      <c r="F24" s="14">
        <f>'T24_AAA_Test_Cases'!H12</f>
        <v/>
      </c>
      <c r="G24" s="14">
        <f>'T24_AAA_Test_Cases'!I12</f>
        <v/>
      </c>
    </row>
    <row r="25">
      <c r="A25" s="14">
        <f>'T24_AAA_Test_Cases'!A13</f>
        <v/>
      </c>
      <c r="B25" s="14">
        <f>'T24_AAA_Test_Cases'!B13</f>
        <v/>
      </c>
      <c r="C25" s="14">
        <f>'T24_AAA_Test_Cases'!C13</f>
        <v/>
      </c>
      <c r="D25" s="14">
        <f>'T24_AAA_Test_Cases'!D13</f>
        <v/>
      </c>
      <c r="E25" s="14">
        <f>'T24_AAA_Test_Cases'!G13</f>
        <v/>
      </c>
      <c r="F25" s="14">
        <f>'T24_AAA_Test_Cases'!H13</f>
        <v/>
      </c>
      <c r="G25" s="14">
        <f>'T24_AAA_Test_Cases'!I13</f>
        <v/>
      </c>
    </row>
    <row r="26">
      <c r="A26" s="14">
        <f>'T24_AAA_Test_Cases'!A14</f>
        <v/>
      </c>
      <c r="B26" s="14">
        <f>'T24_AAA_Test_Cases'!B14</f>
        <v/>
      </c>
      <c r="C26" s="14">
        <f>'T24_AAA_Test_Cases'!C14</f>
        <v/>
      </c>
      <c r="D26" s="14">
        <f>'T24_AAA_Test_Cases'!D14</f>
        <v/>
      </c>
      <c r="E26" s="14">
        <f>'T24_AAA_Test_Cases'!G14</f>
        <v/>
      </c>
      <c r="F26" s="14">
        <f>'T24_AAA_Test_Cases'!H14</f>
        <v/>
      </c>
      <c r="G26" s="14">
        <f>'T24_AAA_Test_Cases'!I14</f>
        <v/>
      </c>
    </row>
    <row r="27">
      <c r="A27" s="14">
        <f>'T24_AAA_Test_Cases'!A15</f>
        <v/>
      </c>
      <c r="B27" s="14">
        <f>'T24_AAA_Test_Cases'!B15</f>
        <v/>
      </c>
      <c r="C27" s="14">
        <f>'T24_AAA_Test_Cases'!C15</f>
        <v/>
      </c>
      <c r="D27" s="14">
        <f>'T24_AAA_Test_Cases'!D15</f>
        <v/>
      </c>
      <c r="E27" s="14">
        <f>'T24_AAA_Test_Cases'!G15</f>
        <v/>
      </c>
      <c r="F27" s="14">
        <f>'T24_AAA_Test_Cases'!H15</f>
        <v/>
      </c>
      <c r="G27" s="14">
        <f>'T24_AAA_Test_Cases'!I15</f>
        <v/>
      </c>
    </row>
    <row r="28">
      <c r="A28" s="14">
        <f>'T24_AAA_Test_Cases'!A16</f>
        <v/>
      </c>
      <c r="B28" s="14">
        <f>'T24_AAA_Test_Cases'!B16</f>
        <v/>
      </c>
      <c r="C28" s="14">
        <f>'T24_AAA_Test_Cases'!C16</f>
        <v/>
      </c>
      <c r="D28" s="14">
        <f>'T24_AAA_Test_Cases'!D16</f>
        <v/>
      </c>
      <c r="E28" s="14">
        <f>'T24_AAA_Test_Cases'!G16</f>
        <v/>
      </c>
      <c r="F28" s="14">
        <f>'T24_AAA_Test_Cases'!H16</f>
        <v/>
      </c>
      <c r="G28" s="14">
        <f>'T24_AAA_Test_Cases'!I16</f>
        <v/>
      </c>
    </row>
    <row r="29">
      <c r="A29" s="14" t="n"/>
      <c r="B29" s="14" t="n"/>
      <c r="C29" s="14" t="n"/>
      <c r="D29" s="14" t="n"/>
      <c r="E29" s="14" t="n"/>
      <c r="F29" s="14" t="n"/>
      <c r="G29" s="14" t="n"/>
    </row>
  </sheetData>
  <mergeCells count="1">
    <mergeCell ref="A1:F1"/>
  </mergeCells>
  <conditionalFormatting sqref="G14:G29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"Blocked"</formula>
    </cfRule>
    <cfRule type="cellIs" priority="4" operator="equal" dxfId="3">
      <formula>"Not Run"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2026-03-23T05:28:22Z</dcterms:created>
  <dcterms:modified xmlns:dcterms="http://purl.org/dc/terms/" xmlns:xsi="http://www.w3.org/2001/XMLSchema-instance" xsi:type="dcterms:W3CDTF">2026-03-23T05:46:54Z</dcterms:modified>
</cp:coreProperties>
</file>
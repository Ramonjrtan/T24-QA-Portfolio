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b18234cdd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7c1ff88734404b"/>
    <x:sheet xmlns:r="http://schemas.openxmlformats.org/officeDocument/2006/relationships" name="Customer_Module" sheetId="2" r:id="R1753d6deabe54979"/>
    <x:sheet xmlns:r="http://schemas.openxmlformats.org/officeDocument/2006/relationships" name="Account_Module" sheetId="3" r:id="R13881b6d320d4fc2"/>
    <x:sheet xmlns:r="http://schemas.openxmlformats.org/officeDocument/2006/relationships" name="Funds_Transfer" sheetId="4" r:id="Rdbd3ed47bedf4dda"/>
    <x:sheet xmlns:r="http://schemas.openxmlformats.org/officeDocument/2006/relationships" name="End_to_End" sheetId="5" r:id="R0b50c682d425420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K5" authorId="0">
      <x:text>
        <x:r>
          <x:t>Default sample status. Replace with actual execution result when you run the test.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K5" authorId="0">
      <x:text>
        <x:r>
          <x:t>Default sample status. Replace with actual execution result when you run the test.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K5" authorId="0">
      <x:text>
        <x:r>
          <x:t>Default sample status. Replace with actual execution result when you run the test.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K5" authorId="0">
      <x:text>
        <x:r>
          <x:t>Default sample status. Replace with actual execution result when you run the test.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0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color rgb="007F7F7F"/>
    </x:font>
    <x:font>
      <x:b/>
      <x:sz val="11"/>
      <x:color rgb="00FFFFFF"/>
    </x:font>
    <x:font>
      <x:b/>
    </x:font>
    <x:font>
      <x:color rgb="00800080"/>
    </x:font>
    <x:font>
      <x:b/>
      <x:color rgb="00FFFFFF"/>
    </x:font>
    <x:font>
      <x:color rgb="000000FF"/>
    </x:font>
    <x:font>
      <x:color rgb="00008000"/>
    </x:font>
    <x:font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4DFEC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top style="medium">
        <x:color rgb="007F7F7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left" vertical="top" wrapText="1"/>
    </x:xf>
    <x:xf numFmtId="0" fontId="2" fillId="0" borderId="0" xfId="0"/>
    <x:xf numFmtId="0" fontId="3" fillId="2" borderId="0" xfId="0" applyAlignment="1">
      <x:alignment horizontal="left" vertical="top" wrapText="1"/>
    </x:xf>
    <x:xf numFmtId="0" fontId="4" fillId="0" borderId="0" xfId="0"/>
    <x:xf numFmtId="0" fontId="5" fillId="3" borderId="0" xfId="0" applyAlignment="1">
      <x:alignment horizontal="left" vertical="top" wrapText="1"/>
    </x:xf>
    <x:xf numFmtId="0" fontId="6" fillId="2" borderId="0" xfId="0" applyAlignment="1">
      <x:alignment horizontal="center" vertical="center" wrapText="1"/>
    </x:xf>
    <x:xf numFmtId="0" fontId="7" fillId="0" borderId="0" xfId="0" applyAlignment="1">
      <x:alignment horizontal="left" vertical="top" wrapText="1"/>
    </x:xf>
    <x:xf numFmtId="0" fontId="8" fillId="0" borderId="0" xfId="0" applyAlignment="1">
      <x:alignment horizontal="left" vertical="top" wrapText="1"/>
    </x:xf>
    <x:xf numFmtId="0" fontId="9" fillId="0" borderId="0" xfId="0" applyAlignment="1">
      <x:alignment horizontal="center" vertical="center" wrapText="1"/>
    </x:xf>
    <x:xf numFmtId="0" fontId="4" fillId="0" borderId="1" xfId="0"/>
    <x:xf numFmtId="0" fontId="0" fillId="0" borderId="1" xfId="0"/>
    <x:xf numFmtId="0" fontId="3" fillId="2" borderId="0" xfId="0"/>
    <x:xf numFmtId="0" fontId="7" fillId="0" borderId="0" xfId="0"/>
    <x:xf numFmtId="0" fontId="9" fillId="0" borderId="0" xfId="0"/>
    <x:xf numFmtId="164" fontId="9" fillId="4" borderId="0" xfId="0"/>
    <x:xf numFmtId="0" fontId="1" fillId="2" borderId="0" xfId="0"/>
    <x:xf numFmtId="0" fontId="2" fillId="0" borderId="0" xfId="0" applyAlignment="1">
      <x:alignment horizontal="left" vertical="top" wrapText="1"/>
    </x:xf>
  </x:cellXfs>
  <x:cellStyles count="1">
    <x:cellStyle name="Normal" xfId="0"/>
  </x:cellStyles>
  <x:dxfs count="4">
    <x:dxf>
      <x:fill>
        <x:patternFill>
          <x:bgColor rgb="00E2F0D9"/>
        </x:patternFill>
      </x:fill>
    </x:dxf>
    <x:dxf>
      <x:fill>
        <x:patternFill>
          <x:bgColor rgb="00F4CCCC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efa2329e34ec6" /><Relationship Type="http://schemas.openxmlformats.org/officeDocument/2006/relationships/theme" Target="/xl/theme/theme1.xml" Id="R4a5380a7f4184f88" /><Relationship Type="http://schemas.openxmlformats.org/officeDocument/2006/relationships/sharedStrings" Target="/xl/sharedStrings.xml" Id="R867e603d901547fd" /><Relationship Type="http://schemas.openxmlformats.org/officeDocument/2006/relationships/worksheet" Target="/xl/worksheets/sheet1.xml" Id="R947c1ff88734404b" /><Relationship Type="http://schemas.openxmlformats.org/officeDocument/2006/relationships/worksheet" Target="/xl/worksheets/sheet2.xml" Id="R1753d6deabe54979" /><Relationship Type="http://schemas.openxmlformats.org/officeDocument/2006/relationships/worksheet" Target="/xl/worksheets/sheet3.xml" Id="R13881b6d320d4fc2" /><Relationship Type="http://schemas.openxmlformats.org/officeDocument/2006/relationships/worksheet" Target="/xl/worksheets/sheet4.xml" Id="Rdbd3ed47bedf4dda" /><Relationship Type="http://schemas.openxmlformats.org/officeDocument/2006/relationships/worksheet" Target="/xl/worksheets/sheet5.xml" Id="R0b50c682d4254200" /><Relationship Type="http://schemas.microsoft.com/office/2017/10/relationships/person" Target="/xl/persons/person.xml" Id="R91b9e27d5c544bec" /></Relationships>
</file>

<file path=xl/persons/person.xml><?xml version="1.0" encoding="utf-8"?>
<xltc:personList xmlns:xltc="http://schemas.microsoft.com/office/spreadsheetml/2018/threadedcomments">
  <xltc:person displayName="OpenAI" id="{97B4ECA8-BB39-ADE3-45DC-AA0CB4EE8461}"/>
  <xltc:person displayName="OpenAI" id="{7539E8FE-2B97-A88F-194E-46C3C65CF342}"/>
  <xltc:person displayName="OpenAI" id="{507CC5DC-E286-B6FE-3E9A-A96D38467B22}"/>
  <xltc:person displayName="OpenAI" id="{BA366695-E673-145E-7768-1791701F39A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96ee7825db54445" /><Relationship Type="http://schemas.openxmlformats.org/officeDocument/2006/relationships/vmlDrawing" Target="/xl/drawings/vmldrawing.vml" Id="R272572470c48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d1313beae4eb4c60" /><Relationship Type="http://schemas.openxmlformats.org/officeDocument/2006/relationships/vmlDrawing" Target="/xl/drawings/vmldrawing2.vml" Id="Re45d30946d0b4c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a88287c9586940c2" /><Relationship Type="http://schemas.openxmlformats.org/officeDocument/2006/relationships/vmlDrawing" Target="/xl/drawings/vmldrawing3.vml" Id="R6d0f633773aa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be483011c7e44d85" /><Relationship Type="http://schemas.openxmlformats.org/officeDocument/2006/relationships/vmlDrawing" Target="/xl/drawings/vmldrawing4.vml" Id="Rd993137da7e74c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2" customWidth="1"/>
    <x:col min="3" max="3" width="14" customWidth="1"/>
    <x:col min="4" max="4" width="18" customWidth="1"/>
    <x:col min="5" max="5" width="14" customWidth="1"/>
    <x:col min="6" max="6" width="22" customWidth="1"/>
  </x:cols>
  <x:sheetData>
    <x:row r="1" ht="22" customHeight="1">
      <x:c r="A1" s="1" t="inlineStr">
        <x:is>
          <x:t xml:space="preserve">T24 QA Portfolio - Test Case Tracker</x:t>
        </x:is>
      </x:c>
    </x:row>
    <x:row r="2" ht="22" customHeight="1"/>
    <x:row r="3" ht="22" customHeight="1">
      <x:c r="A3" s="2" t="inlineStr">
        <x:is>
          <x:t xml:space="preserve">Use this workbook as the main Excel asset in your GitHub T24 QA portfolio.</x:t>
        </x:is>
      </x:c>
    </x:row>
    <x:row r="4" ht="22" customHeight="1"/>
    <x:row r="5" ht="22" customHeight="1">
      <x:c r="A5" s="3" t="inlineStr">
        <x:is>
          <x:t xml:space="preserve">Workbook Controls</x:t>
        </x:is>
      </x:c>
    </x:row>
    <x:row r="6" ht="22" customHeight="1">
      <x:c r="A6" s="4" t="inlineStr">
        <x:is>
          <x:t xml:space="preserve">Default Status</x:t>
        </x:is>
      </x:c>
      <x:c r="B6" s="5" t="inlineStr">
        <x:is>
          <x:t xml:space="preserve">Not Run</x:t>
        </x:is>
      </x:c>
    </x:row>
    <x:row r="7" ht="22" customHeight="1">
      <x:c r="A7" s="4" t="inlineStr">
        <x:is>
          <x:t xml:space="preserve">Default Priority</x:t>
        </x:is>
      </x:c>
      <x:c r="B7" s="5" t="inlineStr">
        <x:is>
          <x:t xml:space="preserve">High</x:t>
        </x:is>
      </x:c>
    </x:row>
    <x:row r="8" ht="22" customHeight="1">
      <x:c r="A8" s="4" t="inlineStr">
        <x:is>
          <x:t xml:space="preserve">Portfolio Owner</x:t>
        </x:is>
      </x:c>
      <x:c r="B8" s="5" t="inlineStr">
        <x:is>
          <x:t xml:space="preserve">Ramon Tan Jr</x:t>
        </x:is>
      </x:c>
    </x:row>
    <x:row r="9" ht="22" customHeight="1">
      <x:c r="A9" s="4" t="inlineStr">
        <x:is>
          <x:t xml:space="preserve">Primary Domain</x:t>
        </x:is>
      </x:c>
      <x:c r="B9" s="5" t="inlineStr">
        <x:is>
          <x:t xml:space="preserve">Temenos Transact (T24) QA</x:t>
        </x:is>
      </x:c>
    </x:row>
    <x:row r="10" ht="22" customHeight="1"/>
    <x:row r="11" ht="22" customHeight="1">
      <x:c r="A11" s="3" t="inlineStr">
        <x:is>
          <x:t xml:space="preserve">Module Coverage</x:t>
        </x:is>
      </x:c>
    </x:row>
    <x:row r="12" ht="22" customHeight="1">
      <x:c r="A12" s="6" t="inlineStr">
        <x:is>
          <x:t xml:space="preserve">Module</x:t>
        </x:is>
      </x:c>
      <x:c r="B12" s="6" t="inlineStr">
        <x:is>
          <x:t xml:space="preserve">Sheet Name</x:t>
        </x:is>
      </x:c>
      <x:c r="C12" s="6" t="inlineStr">
        <x:is>
          <x:t xml:space="preserve">Total Cases</x:t>
        </x:is>
      </x:c>
      <x:c r="D12" s="6" t="inlineStr">
        <x:is>
          <x:t xml:space="preserve">High Priority</x:t>
        </x:is>
      </x:c>
      <x:c r="E12" s="6" t="inlineStr">
        <x:is>
          <x:t xml:space="preserve">Negative Cases</x:t>
        </x:is>
      </x:c>
      <x:c r="F12" s="6" t="inlineStr">
        <x:is>
          <x:t xml:space="preserve">Automation Candidates</x:t>
        </x:is>
      </x:c>
    </x:row>
    <x:row r="13" ht="22" customHeight="1">
      <x:c r="A13" s="7" t="inlineStr">
        <x:is>
          <x:t xml:space="preserve">Customer</x:t>
        </x:is>
      </x:c>
      <x:c r="B13" s="8" t="inlineStr">
        <x:is>
          <x:t xml:space="preserve">Customer_Module</x:t>
        </x:is>
      </x:c>
      <x:c r="C13" s="9">
        <x:f>COUNTA('Customer_Module'!A5:A200)</x:f>
        <x:v>6</x:v>
      </x:c>
      <x:c r="D13" s="9">
        <x:f>COUNTIF('Customer_Module'!H:H,"High")</x:f>
        <x:v>4</x:v>
      </x:c>
      <x:c r="E13" s="9">
        <x:f>COUNTIF('Customer_Module'!I:I,"Negative")</x:f>
        <x:v>2</x:v>
      </x:c>
      <x:c r="F13" s="9">
        <x:f>COUNTIF('Customer_Module'!J:J,"Yes")</x:f>
        <x:v>3</x:v>
      </x:c>
    </x:row>
    <x:row r="14" ht="22" customHeight="1">
      <x:c r="A14" s="7" t="inlineStr">
        <x:is>
          <x:t xml:space="preserve">Account</x:t>
        </x:is>
      </x:c>
      <x:c r="B14" s="8" t="inlineStr">
        <x:is>
          <x:t xml:space="preserve">Account_Module</x:t>
        </x:is>
      </x:c>
      <x:c r="C14" s="9">
        <x:f>COUNTA('Account_Module'!A5:A200)</x:f>
        <x:v>6</x:v>
      </x:c>
      <x:c r="D14" s="9">
        <x:f>COUNTIF('Account_Module'!H:H,"High")</x:f>
        <x:v>3</x:v>
      </x:c>
      <x:c r="E14" s="9">
        <x:f>COUNTIF('Account_Module'!I:I,"Negative")</x:f>
        <x:v>1</x:v>
      </x:c>
      <x:c r="F14" s="9">
        <x:f>COUNTIF('Account_Module'!J:J,"Yes")</x:f>
        <x:v>2</x:v>
      </x:c>
    </x:row>
    <x:row r="15" ht="22" customHeight="1">
      <x:c r="A15" s="7" t="inlineStr">
        <x:is>
          <x:t xml:space="preserve">Funds Transfer</x:t>
        </x:is>
      </x:c>
      <x:c r="B15" s="8" t="inlineStr">
        <x:is>
          <x:t xml:space="preserve">Funds_Transfer</x:t>
        </x:is>
      </x:c>
      <x:c r="C15" s="9">
        <x:f>COUNTA('Funds_Transfer'!A5:A200)</x:f>
        <x:v>7</x:v>
      </x:c>
      <x:c r="D15" s="9">
        <x:f>COUNTIF('Funds_Transfer'!H:H,"High")</x:f>
        <x:v>6</x:v>
      </x:c>
      <x:c r="E15" s="9">
        <x:f>COUNTIF('Funds_Transfer'!I:I,"Negative")</x:f>
        <x:v>3</x:v>
      </x:c>
      <x:c r="F15" s="9">
        <x:f>COUNTIF('Funds_Transfer'!J:J,"Yes")</x:f>
        <x:v>3</x:v>
      </x:c>
    </x:row>
    <x:row r="16" ht="22" customHeight="1">
      <x:c r="A16" s="7" t="inlineStr">
        <x:is>
          <x:t xml:space="preserve">End-to-End</x:t>
        </x:is>
      </x:c>
      <x:c r="B16" s="8" t="inlineStr">
        <x:is>
          <x:t xml:space="preserve">End_to_End</x:t>
        </x:is>
      </x:c>
      <x:c r="C16" s="9">
        <x:f>COUNTA('End_to_End'!A5:A200)</x:f>
        <x:v>3</x:v>
      </x:c>
      <x:c r="D16" s="9">
        <x:f>COUNTIF('End_to_End'!H:H,"High")</x:f>
        <x:v>2</x:v>
      </x:c>
      <x:c r="E16" s="9">
        <x:f>COUNTIF('End_to_End'!I:I,"Negative")</x:f>
        <x:v>0</x:v>
      </x:c>
      <x:c r="F16" s="9">
        <x:f>COUNTIF('End_to_End'!J:J,"Yes")</x:f>
        <x:v>0</x:v>
      </x:c>
    </x:row>
    <x:row r="17" ht="22" customHeight="1">
      <x:c r="A17" s="10" t="inlineStr">
        <x:is>
          <x:t xml:space="preserve">Total</x:t>
        </x:is>
      </x:c>
      <x:c r="B17" s="11" t="n"/>
      <x:c r="C17" s="10">
        <x:f>SUM(C13:C16)</x:f>
        <x:v>22</x:v>
      </x:c>
      <x:c r="D17" s="10">
        <x:f>SUM(D13:D16)</x:f>
        <x:v>15</x:v>
      </x:c>
      <x:c r="E17" s="10">
        <x:f>SUM(E13:E16)</x:f>
        <x:v>6</x:v>
      </x:c>
      <x:c r="F17" s="10">
        <x:f>SUM(F13:F16)</x:f>
        <x:v>8</x:v>
      </x:c>
    </x:row>
    <x:row r="18" ht="22" customHeight="1"/>
    <x:row r="19" ht="22" customHeight="1">
      <x:c r="A19" s="3" t="inlineStr">
        <x:is>
          <x:t xml:space="preserve">Execution Status</x:t>
        </x:is>
      </x:c>
    </x:row>
    <x:row r="20" ht="22" customHeight="1">
      <x:c r="A20" s="6" t="inlineStr">
        <x:is>
          <x:t xml:space="preserve">Status</x:t>
        </x:is>
      </x:c>
      <x:c r="B20" s="6" t="inlineStr">
        <x:is>
          <x:t xml:space="preserve">Count</x:t>
        </x:is>
      </x:c>
      <x:c r="D20" s="12" t="inlineStr">
        <x:is>
          <x:t xml:space="preserve">Execution KPI</x:t>
        </x:is>
      </x:c>
    </x:row>
    <x:row r="21" ht="22" customHeight="1">
      <x:c r="A21" s="13" t="inlineStr">
        <x:is>
          <x:t xml:space="preserve">Not Run</x:t>
        </x:is>
      </x:c>
      <x:c r="B21" s="14">
        <x:f>COUNTIF(Customer_Module!K:K,A21)+COUNTIF(Account_Module!K:K,A21)+COUNTIF(Funds_Transfer!K:K,A21)+COUNTIF(End_to_End!K:K,A21)</x:f>
        <x:v>22</x:v>
      </x:c>
      <x:c r="D21" s="4" t="inlineStr">
        <x:is>
          <x:t xml:space="preserve">Total Test Cases</x:t>
        </x:is>
      </x:c>
      <x:c r="E21" s="14">
        <x:f>SUM(B21:B24)</x:f>
        <x:v>22</x:v>
      </x:c>
    </x:row>
    <x:row r="22" ht="22" customHeight="1">
      <x:c r="A22" s="13" t="inlineStr">
        <x:is>
          <x:t xml:space="preserve">Pass</x:t>
        </x:is>
      </x:c>
      <x:c r="B22" s="14">
        <x:f>COUNTIF(Customer_Module!K:K,A22)+COUNTIF(Account_Module!K:K,A22)+COUNTIF(Funds_Transfer!K:K,A22)+COUNTIF(End_to_End!K:K,A22)</x:f>
        <x:v>0</x:v>
      </x:c>
      <x:c r="D22" s="4" t="inlineStr">
        <x:is>
          <x:t xml:space="preserve">Executed Cases</x:t>
        </x:is>
      </x:c>
      <x:c r="E22" s="14">
        <x:f>B22+B23+B24</x:f>
        <x:v>0</x:v>
      </x:c>
    </x:row>
    <x:row r="23" ht="22" customHeight="1">
      <x:c r="A23" s="13" t="inlineStr">
        <x:is>
          <x:t xml:space="preserve">Fail</x:t>
        </x:is>
      </x:c>
      <x:c r="B23" s="14">
        <x:f>COUNTIF(Customer_Module!K:K,A23)+COUNTIF(Account_Module!K:K,A23)+COUNTIF(Funds_Transfer!K:K,A23)+COUNTIF(End_to_End!K:K,A23)</x:f>
        <x:v>0</x:v>
      </x:c>
      <x:c r="D23" s="4" t="inlineStr">
        <x:is>
          <x:t xml:space="preserve">Pass Rate</x:t>
        </x:is>
      </x:c>
      <x:c r="E23" s="15">
        <x:f>IF(E22=0,0,B22/E22)</x:f>
        <x:v>0</x:v>
      </x:c>
    </x:row>
    <x:row r="24" ht="22" customHeight="1">
      <x:c r="A24" s="13" t="inlineStr">
        <x:is>
          <x:t xml:space="preserve">Blocked</x:t>
        </x:is>
      </x:c>
      <x:c r="B24" s="14">
        <x:f>COUNTIF(Customer_Module!K:K,A24)+COUNTIF(Account_Module!K:K,A24)+COUNTIF(Funds_Transfer!K:K,A24)+COUNTIF(End_to_End!K:K,A24)</x:f>
        <x:v>0</x:v>
      </x:c>
      <x:c r="D24" s="4" t="inlineStr">
        <x:is>
          <x:t xml:space="preserve">Fail Rate</x:t>
        </x:is>
      </x:c>
      <x:c r="E24" s="15">
        <x:f>IF(E22=0,0,B23/E22)</x:f>
        <x:v>0</x:v>
      </x:c>
    </x:row>
    <x:row r="25" ht="22" customHeight="1"/>
  </x:sheetData>
  <x:mergeCells>
    <x:mergeCell ref="A11:F11"/>
    <x:mergeCell ref="A19:F19"/>
    <x:mergeCell ref="A1:F1"/>
    <x:mergeCell ref="A5:F5"/>
    <x:mergeCell ref="D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Customer Module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48" customHeight="1">
      <x:c r="A5" s="7" t="inlineStr">
        <x:is>
          <x:t xml:space="preserve">TC-CUST-001</x:t>
        </x:is>
      </x:c>
      <x:c r="B5" s="7" t="inlineStr">
        <x:is>
          <x:t xml:space="preserve">Customer</x:t>
        </x:is>
      </x:c>
      <x:c r="C5" s="7" t="inlineStr">
        <x:is>
          <x:t xml:space="preserve">Create new individual customer</x:t>
        </x:is>
      </x:c>
      <x:c r="D5" s="7" t="inlineStr">
        <x:is>
          <x:t xml:space="preserve">Authorized maker/checker roles available</x:t>
        </x:is>
      </x:c>
      <x:c r="E5" s="7" t="inlineStr">
        <x:is>
          <x:t xml:space="preserve">1. Open CUSTOMER version
2. Click New
3. Populate mandatory personal details
4. Validate
5. Commit
6. Authorize</x:t>
        </x:is>
      </x:c>
      <x:c r="F5" s="7" t="inlineStr">
        <x:is>
          <x:t xml:space="preserve">Customer Name, DOB, Address, National ID</x:t>
        </x:is>
      </x:c>
      <x:c r="G5" s="7" t="inlineStr">
        <x:is>
          <x:t xml:space="preserve">Customer record is created and moves from NAU to LIVE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Baseline happy path</x:t>
        </x:is>
      </x:c>
    </x:row>
    <x:row r="6" ht="48" customHeight="1">
      <x:c r="A6" s="7" t="inlineStr">
        <x:is>
          <x:t xml:space="preserve">TC-CUST-002</x:t>
        </x:is>
      </x:c>
      <x:c r="B6" s="7" t="inlineStr">
        <x:is>
          <x:t xml:space="preserve">Customer</x:t>
        </x:is>
      </x:c>
      <x:c r="C6" s="7" t="inlineStr">
        <x:is>
          <x:t xml:space="preserve">Mandatory field validation - missing customer name</x:t>
        </x:is>
      </x:c>
      <x:c r="D6" s="7" t="inlineStr">
        <x:is>
          <x:t xml:space="preserve">Maker access available</x:t>
        </x:is>
      </x:c>
      <x:c r="E6" s="7" t="inlineStr">
        <x:is>
          <x:t xml:space="preserve">1. Open CUSTOMER version
2. Leave NAME blank
3. Populate other fields
4. Validate</x:t>
        </x:is>
      </x:c>
      <x:c r="F6" s="7" t="inlineStr">
        <x:is>
          <x:t xml:space="preserve">Blank NAME</x:t>
        </x:is>
      </x:c>
      <x:c r="G6" s="7" t="inlineStr">
        <x:is>
          <x:t xml:space="preserve">System displays validation error and blocks commit</x:t>
        </x:is>
      </x:c>
      <x:c r="H6" s="7" t="inlineStr">
        <x:is>
          <x:t xml:space="preserve">High</x:t>
        </x:is>
      </x:c>
      <x:c r="I6" s="7" t="inlineStr">
        <x:is>
          <x:t xml:space="preserve">Negative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Check field-level error text</x:t>
        </x:is>
      </x:c>
    </x:row>
    <x:row r="7" ht="48" customHeight="1">
      <x:c r="A7" s="7" t="inlineStr">
        <x:is>
          <x:t xml:space="preserve">TC-CUST-003</x:t>
        </x:is>
      </x:c>
      <x:c r="B7" s="7" t="inlineStr">
        <x:is>
          <x:t xml:space="preserve">Customer</x:t>
        </x:is>
      </x:c>
      <x:c r="C7" s="7" t="inlineStr">
        <x:is>
          <x:t xml:space="preserve">Duplicate customer prevention</x:t>
        </x:is>
      </x:c>
      <x:c r="D7" s="7" t="inlineStr">
        <x:is>
          <x:t xml:space="preserve">Existing customer already available</x:t>
        </x:is>
      </x:c>
      <x:c r="E7" s="7" t="inlineStr">
        <x:is>
          <x:t xml:space="preserve">1. Search existing customer
2. Create another customer with same primary details
3. Validate/Commit</x:t>
        </x:is>
      </x:c>
      <x:c r="F7" s="7" t="inlineStr">
        <x:is>
          <x:t xml:space="preserve">Same name + DOB + national ID</x:t>
        </x:is>
      </x:c>
      <x:c r="G7" s="7" t="inlineStr">
        <x:is>
          <x:t xml:space="preserve">System warns or blocks potential duplicate based on bank configuration</x:t>
        </x:is>
      </x:c>
      <x:c r="H7" s="7" t="inlineStr">
        <x:is>
          <x:t xml:space="preserve">High</x:t>
        </x:is>
      </x:c>
      <x:c r="I7" s="7" t="inlineStr">
        <x:is>
          <x:t xml:space="preserve">Negative</x:t>
        </x:is>
      </x:c>
      <x:c r="J7" s="7" t="inlineStr">
        <x:is>
          <x:t xml:space="preserve">Later</x:t>
        </x:is>
      </x:c>
      <x:c r="K7" s="7" t="inlineStr">
        <x:is>
          <x:t xml:space="preserve">Not Run</x:t>
        </x:is>
      </x:c>
      <x:c r="L7" s="17" t="inlineStr">
        <x:is>
          <x:t xml:space="preserve">Capture dedupe behavior</x:t>
        </x:is>
      </x:c>
    </x:row>
    <x:row r="8" ht="48" customHeight="1">
      <x:c r="A8" s="7" t="inlineStr">
        <x:is>
          <x:t xml:space="preserve">TC-CUST-004</x:t>
        </x:is>
      </x:c>
      <x:c r="B8" s="7" t="inlineStr">
        <x:is>
          <x:t xml:space="preserve">Customer</x:t>
        </x:is>
      </x:c>
      <x:c r="C8" s="7" t="inlineStr">
        <x:is>
          <x:t xml:space="preserve">Customer search by mnemonic or ID</x:t>
        </x:is>
      </x:c>
      <x:c r="D8" s="7" t="inlineStr">
        <x:is>
          <x:t xml:space="preserve">Existing live customer available</x:t>
        </x:is>
      </x:c>
      <x:c r="E8" s="7" t="inlineStr">
        <x:is>
          <x:t xml:space="preserve">1. Open CUSTOMER enquiry
2. Search by customer number
3. Search again by mnemonic</x:t>
        </x:is>
      </x:c>
      <x:c r="F8" s="7" t="inlineStr">
        <x:is>
          <x:t xml:space="preserve">Valid customer ID / mnemonic</x:t>
        </x:is>
      </x:c>
      <x:c r="G8" s="7" t="inlineStr">
        <x:is>
          <x:t xml:space="preserve">Search returns the expected customer record</x:t>
        </x:is>
      </x:c>
      <x:c r="H8" s="7" t="inlineStr">
        <x:is>
          <x:t xml:space="preserve">Medium</x:t>
        </x:is>
      </x:c>
      <x:c r="I8" s="7" t="inlineStr">
        <x:is>
          <x:t xml:space="preserve">Positive</x:t>
        </x:is>
      </x:c>
      <x:c r="J8" s="7" t="inlineStr">
        <x:is>
          <x:t xml:space="preserve">Yes</x:t>
        </x:is>
      </x:c>
      <x:c r="K8" s="7" t="inlineStr">
        <x:is>
          <x:t xml:space="preserve">Not Run</x:t>
        </x:is>
      </x:c>
      <x:c r="L8" s="17" t="inlineStr">
        <x:is>
          <x:t xml:space="preserve">Useful for smoke suite</x:t>
        </x:is>
      </x:c>
    </x:row>
    <x:row r="9" ht="48" customHeight="1">
      <x:c r="A9" s="7" t="inlineStr">
        <x:is>
          <x:t xml:space="preserve">TC-CUST-005</x:t>
        </x:is>
      </x:c>
      <x:c r="B9" s="7" t="inlineStr">
        <x:is>
          <x:t xml:space="preserve">Customer</x:t>
        </x:is>
      </x:c>
      <x:c r="C9" s="7" t="inlineStr">
        <x:is>
          <x:t xml:space="preserve">Unauthorized user cannot authorize customer</x:t>
        </x:is>
      </x:c>
      <x:c r="D9" s="7" t="inlineStr">
        <x:is>
          <x:t xml:space="preserve">Maker user and restricted user available</x:t>
        </x:is>
      </x:c>
      <x:c r="E9" s="7" t="inlineStr">
        <x:is>
          <x:t xml:space="preserve">1. Create customer as maker
2. Log in as user without authorize rights
3. Attempt authorization</x:t>
        </x:is>
      </x:c>
      <x:c r="F9" s="7" t="inlineStr">
        <x:is>
          <x:t xml:space="preserve">New NAU customer ID</x:t>
        </x:is>
      </x:c>
      <x:c r="G9" s="7" t="inlineStr">
        <x:is>
          <x:t xml:space="preserve">System denies authorization and record remains in NAU</x:t>
        </x:is>
      </x:c>
      <x:c r="H9" s="7" t="inlineStr">
        <x:is>
          <x:t xml:space="preserve">High</x:t>
        </x:is>
      </x:c>
      <x:c r="I9" s="7" t="inlineStr">
        <x:is>
          <x:t xml:space="preserve">Security</x:t>
        </x:is>
      </x:c>
      <x:c r="J9" s="7" t="inlineStr">
        <x:is>
          <x:t xml:space="preserve">Later</x:t>
        </x:is>
      </x:c>
      <x:c r="K9" s="7" t="inlineStr">
        <x:is>
          <x:t xml:space="preserve">Not Run</x:t>
        </x:is>
      </x:c>
      <x:c r="L9" s="17" t="inlineStr">
        <x:is>
          <x:t xml:space="preserve">Role-based access control</x:t>
        </x:is>
      </x:c>
    </x:row>
    <x:row r="10" ht="48" customHeight="1">
      <x:c r="A10" s="7" t="inlineStr">
        <x:is>
          <x:t xml:space="preserve">TC-CUST-006</x:t>
        </x:is>
      </x:c>
      <x:c r="B10" s="7" t="inlineStr">
        <x:is>
          <x:t xml:space="preserve">Customer</x:t>
        </x:is>
      </x:c>
      <x:c r="C10" s="7" t="inlineStr">
        <x:is>
          <x:t xml:space="preserve">Update customer address history trace</x:t>
        </x:is>
      </x:c>
      <x:c r="D10" s="7" t="inlineStr">
        <x:is>
          <x:t xml:space="preserve">Live customer available</x:t>
        </x:is>
      </x:c>
      <x:c r="E10" s="7" t="inlineStr">
        <x:is>
          <x:t xml:space="preserve">1. Open existing live customer
2. Update address
3. Commit and authorize
4. Review history/context enquiry</x:t>
        </x:is>
      </x:c>
      <x:c r="F10" s="7" t="inlineStr">
        <x:is>
          <x:t xml:space="preserve">Address change</x:t>
        </x:is>
      </x:c>
      <x:c r="G10" s="7" t="inlineStr">
        <x:is>
          <x:t xml:space="preserve">New address appears in LIVE and prior state is traceable in HIS/history</x:t>
        </x:is>
      </x:c>
      <x:c r="H10" s="7" t="inlineStr">
        <x:is>
          <x:t xml:space="preserve">Medium</x:t>
        </x:is>
      </x:c>
      <x:c r="I10" s="7" t="inlineStr">
        <x:is>
          <x:t xml:space="preserve">Regression</x:t>
        </x:is>
      </x:c>
      <x:c r="J10" s="7" t="inlineStr">
        <x:is>
          <x:t xml:space="preserve">Later</x:t>
        </x:is>
      </x:c>
      <x:c r="K10" s="7" t="inlineStr">
        <x:is>
          <x:t xml:space="preserve">Not Run</x:t>
        </x:is>
      </x:c>
      <x:c r="L10" s="17" t="inlineStr">
        <x:is>
          <x:t xml:space="preserve">Auditability scenario</x:t>
        </x:is>
      </x:c>
    </x:row>
  </x:sheetData>
  <x:mergeCells>
    <x:mergeCell ref="A2:L2"/>
    <x:mergeCell ref="A1:L1"/>
  </x:mergeCells>
  <x:conditionalFormatting sqref="K5:K10">
    <x:cfRule type="expression" dxfId="0" priority="1">
      <x:formula>K5="Pass"</x:formula>
    </x:cfRule>
    <x:cfRule type="expression" dxfId="1" priority="2">
      <x:formula>K5="Fail"</x:formula>
    </x:cfRule>
    <x:cfRule type="expression" dxfId="2" priority="3">
      <x:formula>K5="Blocked"</x:formula>
    </x:cfRule>
  </x:conditionalFormatting>
  <x:conditionalFormatting sqref="H5:H10">
    <x:cfRule type="expression" dxfId="3" priority="4">
      <x:formula>H5="High"</x:formula>
    </x:cfRule>
  </x:conditionalFormatting>
  <x:dataValidations count="4">
    <x:dataValidation type="list" allowBlank="1" showDropDown="0" showInputMessage="0" showErrorMessage="0" sqref="H5:H10">
      <x:formula1>"High,Medium,Low"</x:formula1>
    </x:dataValidation>
    <x:dataValidation type="list" allowBlank="1" showDropDown="0" showInputMessage="0" showErrorMessage="0" sqref="I5:I10">
      <x:formula1>"Positive,Negative,Boundary,Security,Regression"</x:formula1>
    </x:dataValidation>
    <x:dataValidation type="list" allowBlank="1" showDropDown="0" showInputMessage="0" showErrorMessage="0" sqref="J5:J10">
      <x:formula1>"Yes,No,Later"</x:formula1>
    </x:dataValidation>
    <x:dataValidation type="list" allowBlank="1" showDropDown="0" showInputMessage="0" showErrorMessage="0" sqref="K5:K10">
      <x:formula1>"Not Run,Pass,Fail,Blocked"</x:formula1>
    </x:dataValidation>
  </x:dataValidations>
  <x:pageMargins left="0.7" right="0.7" top="0.75" bottom="0.75" header="0.3" footer="0.3"/>
  <x:legacyDrawing xmlns:r="http://schemas.openxmlformats.org/officeDocument/2006/relationships" r:id="R272572470c48424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Account Module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48" customHeight="1">
      <x:c r="A5" s="7" t="inlineStr">
        <x:is>
          <x:t xml:space="preserve">TC-ACCT-001</x:t>
        </x:is>
      </x:c>
      <x:c r="B5" s="7" t="inlineStr">
        <x:is>
          <x:t xml:space="preserve">Account</x:t>
        </x:is>
      </x:c>
      <x:c r="C5" s="7" t="inlineStr">
        <x:is>
          <x:t xml:space="preserve">Open new current account</x:t>
        </x:is>
      </x:c>
      <x:c r="D5" s="7" t="inlineStr">
        <x:is>
          <x:t xml:space="preserve">Live customer exists; category configured</x:t>
        </x:is>
      </x:c>
      <x:c r="E5" s="7" t="inlineStr">
        <x:is>
          <x:t xml:space="preserve">1. Open ACCOUNT,CA.OPEN
2. Enter customer, category, currency, titles
3. Validate
4. Commit
5. Authorize</x:t>
        </x:is>
      </x:c>
      <x:c r="F5" s="7" t="inlineStr">
        <x:is>
          <x:t xml:space="preserve">Customer ID, Category 1001, USD</x:t>
        </x:is>
      </x:c>
      <x:c r="G5" s="7" t="inlineStr">
        <x:is>
          <x:t xml:space="preserve">Account is created and linked to the correct customer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Baseline account creation</x:t>
        </x:is>
      </x:c>
    </x:row>
    <x:row r="6" ht="48" customHeight="1">
      <x:c r="A6" s="7" t="inlineStr">
        <x:is>
          <x:t xml:space="preserve">TC-ACCT-002</x:t>
        </x:is>
      </x:c>
      <x:c r="B6" s="7" t="inlineStr">
        <x:is>
          <x:t xml:space="preserve">Account</x:t>
        </x:is>
      </x:c>
      <x:c r="C6" s="7" t="inlineStr">
        <x:is>
          <x:t xml:space="preserve">Invalid currency rejected</x:t>
        </x:is>
      </x:c>
      <x:c r="D6" s="7" t="inlineStr">
        <x:is>
          <x:t xml:space="preserve">Maker access available</x:t>
        </x:is>
      </x:c>
      <x:c r="E6" s="7" t="inlineStr">
        <x:is>
          <x:t xml:space="preserve">1. Open account creation version
2. Enter unsupported or disallowed currency
3. Validate</x:t>
        </x:is>
      </x:c>
      <x:c r="F6" s="7" t="inlineStr">
        <x:is>
          <x:t xml:space="preserve">Invalid currency code</x:t>
        </x:is>
      </x:c>
      <x:c r="G6" s="7" t="inlineStr">
        <x:is>
          <x:t xml:space="preserve">System rejects input with validation error</x:t>
        </x:is>
      </x:c>
      <x:c r="H6" s="7" t="inlineStr">
        <x:is>
          <x:t xml:space="preserve">High</x:t>
        </x:is>
      </x:c>
      <x:c r="I6" s="7" t="inlineStr">
        <x:is>
          <x:t xml:space="preserve">Negative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Currency control</x:t>
        </x:is>
      </x:c>
    </x:row>
    <x:row r="7" ht="48" customHeight="1">
      <x:c r="A7" s="7" t="inlineStr">
        <x:is>
          <x:t xml:space="preserve">TC-ACCT-003</x:t>
        </x:is>
      </x:c>
      <x:c r="B7" s="7" t="inlineStr">
        <x:is>
          <x:t xml:space="preserve">Account</x:t>
        </x:is>
      </x:c>
      <x:c r="C7" s="7" t="inlineStr">
        <x:is>
          <x:t xml:space="preserve">Account number generated on new deal</x:t>
        </x:is>
      </x:c>
      <x:c r="D7" s="7" t="inlineStr">
        <x:is>
          <x:t xml:space="preserve">Version supports auto ID generation</x:t>
        </x:is>
      </x:c>
      <x:c r="E7" s="7" t="inlineStr">
        <x:is>
          <x:t xml:space="preserve">1. Click New Deal
2. Enter mandatory account details
3. Commit</x:t>
        </x:is>
      </x:c>
      <x:c r="F7" s="7" t="inlineStr">
        <x:is>
          <x:t xml:space="preserve">New Deal flow</x:t>
        </x:is>
      </x:c>
      <x:c r="G7" s="7" t="inlineStr">
        <x:is>
          <x:t xml:space="preserve">System auto-generates account ID according to sequence rules</x:t>
        </x:is>
      </x:c>
      <x:c r="H7" s="7" t="inlineStr">
        <x:is>
          <x:t xml:space="preserve">Medium</x:t>
        </x:is>
      </x:c>
      <x:c r="I7" s="7" t="inlineStr">
        <x:is>
          <x:t xml:space="preserve">Positive</x:t>
        </x:is>
      </x:c>
      <x:c r="J7" s="7" t="inlineStr">
        <x:is>
          <x:t xml:space="preserve">Later</x:t>
        </x:is>
      </x:c>
      <x:c r="K7" s="7" t="inlineStr">
        <x:is>
          <x:t xml:space="preserve">Not Run</x:t>
        </x:is>
      </x:c>
      <x:c r="L7" s="17" t="inlineStr">
        <x:is>
          <x:t xml:space="preserve">Capture generated ID pattern</x:t>
        </x:is>
      </x:c>
    </x:row>
    <x:row r="8" ht="48" customHeight="1">
      <x:c r="A8" s="7" t="inlineStr">
        <x:is>
          <x:t xml:space="preserve">TC-ACCT-004</x:t>
        </x:is>
      </x:c>
      <x:c r="B8" s="7" t="inlineStr">
        <x:is>
          <x:t xml:space="preserve">Account</x:t>
        </x:is>
      </x:c>
      <x:c r="C8" s="7" t="inlineStr">
        <x:is>
          <x:t xml:space="preserve">Unauthorized delete of live account is blocked</x:t>
        </x:is>
      </x:c>
      <x:c r="D8" s="7" t="inlineStr">
        <x:is>
          <x:t xml:space="preserve">Live account exists</x:t>
        </x:is>
      </x:c>
      <x:c r="E8" s="7" t="inlineStr">
        <x:is>
          <x:t xml:space="preserve">1. Open live account
2. Try Delete function as maker user</x:t>
        </x:is>
      </x:c>
      <x:c r="F8" s="7" t="inlineStr">
        <x:is>
          <x:t xml:space="preserve">Authorized live account ID</x:t>
        </x:is>
      </x:c>
      <x:c r="G8" s="7" t="inlineStr">
        <x:is>
          <x:t xml:space="preserve">System prevents delete of live account or enforces permitted closure flow</x:t>
        </x:is>
      </x:c>
      <x:c r="H8" s="7" t="inlineStr">
        <x:is>
          <x:t xml:space="preserve">High</x:t>
        </x:is>
      </x:c>
      <x:c r="I8" s="7" t="inlineStr">
        <x:is>
          <x:t xml:space="preserve">Security</x:t>
        </x:is>
      </x:c>
      <x:c r="J8" s="7" t="inlineStr">
        <x:is>
          <x:t xml:space="preserve">Later</x:t>
        </x:is>
      </x:c>
      <x:c r="K8" s="7" t="inlineStr">
        <x:is>
          <x:t xml:space="preserve">Not Run</x:t>
        </x:is>
      </x:c>
      <x:c r="L8" s="17" t="inlineStr">
        <x:is>
          <x:t xml:space="preserve">Control over destructive actions</x:t>
        </x:is>
      </x:c>
    </x:row>
    <x:row r="9" ht="48" customHeight="1">
      <x:c r="A9" s="7" t="inlineStr">
        <x:is>
          <x:t xml:space="preserve">TC-ACCT-005</x:t>
        </x:is>
      </x:c>
      <x:c r="B9" s="7" t="inlineStr">
        <x:is>
          <x:t xml:space="preserve">Account</x:t>
        </x:is>
      </x:c>
      <x:c r="C9" s="7" t="inlineStr">
        <x:is>
          <x:t xml:space="preserve">Overdraft limit reference stored correctly</x:t>
        </x:is>
      </x:c>
      <x:c r="D9" s="7" t="inlineStr">
        <x:is>
          <x:t xml:space="preserve">OD account product/category configured</x:t>
        </x:is>
      </x:c>
      <x:c r="E9" s="7" t="inlineStr">
        <x:is>
          <x:t xml:space="preserve">1. Create or update overdraft-enabled account
2. Enter LIMIT.REF
3. Commit and authorize</x:t>
        </x:is>
      </x:c>
      <x:c r="F9" s="7" t="inlineStr">
        <x:is>
          <x:t xml:space="preserve">LIMIT.REF = OD001</x:t>
        </x:is>
      </x:c>
      <x:c r="G9" s="7" t="inlineStr">
        <x:is>
          <x:t xml:space="preserve">Limit reference persists correctly on account profile</x:t>
        </x:is>
      </x:c>
      <x:c r="H9" s="7" t="inlineStr">
        <x:is>
          <x:t xml:space="preserve">Medium</x:t>
        </x:is>
      </x:c>
      <x:c r="I9" s="7" t="inlineStr">
        <x:is>
          <x:t xml:space="preserve">Regression</x:t>
        </x:is>
      </x:c>
      <x:c r="J9" s="7" t="inlineStr">
        <x:is>
          <x:t xml:space="preserve">Later</x:t>
        </x:is>
      </x:c>
      <x:c r="K9" s="7" t="inlineStr">
        <x:is>
          <x:t xml:space="preserve">Not Run</x:t>
        </x:is>
      </x:c>
      <x:c r="L9" s="17" t="inlineStr">
        <x:is>
          <x:t xml:space="preserve">Product parameter check</x:t>
        </x:is>
      </x:c>
    </x:row>
    <x:row r="10" ht="48" customHeight="1">
      <x:c r="A10" s="7" t="inlineStr">
        <x:is>
          <x:t xml:space="preserve">TC-ACCT-006</x:t>
        </x:is>
      </x:c>
      <x:c r="B10" s="7" t="inlineStr">
        <x:is>
          <x:t xml:space="preserve">Account</x:t>
        </x:is>
      </x:c>
      <x:c r="C10" s="7" t="inlineStr">
        <x:is>
          <x:t xml:space="preserve">Context enquiry shows live, unauth, and history views</x:t>
        </x:is>
      </x:c>
      <x:c r="D10" s="7" t="inlineStr">
        <x:is>
          <x:t xml:space="preserve">Account exists with prior updates</x:t>
        </x:is>
      </x:c>
      <x:c r="E10" s="7" t="inlineStr">
        <x:is>
          <x:t xml:space="preserve">1. Open account record
2. Launch context enquiries for live, unauth, history</x:t>
        </x:is>
      </x:c>
      <x:c r="F10" s="7" t="inlineStr">
        <x:is>
          <x:t xml:space="preserve">Valid account ID</x:t>
        </x:is>
      </x:c>
      <x:c r="G10" s="7" t="inlineStr">
        <x:is>
          <x:t xml:space="preserve">Context enquiries open the expected data sets without mismatch</x:t>
        </x:is>
      </x:c>
      <x:c r="H10" s="7" t="inlineStr">
        <x:is>
          <x:t xml:space="preserve">Medium</x:t>
        </x:is>
      </x:c>
      <x:c r="I10" s="7" t="inlineStr">
        <x:is>
          <x:t xml:space="preserve">Positive</x:t>
        </x:is>
      </x:c>
      <x:c r="J10" s="7" t="inlineStr">
        <x:is>
          <x:t xml:space="preserve">No</x:t>
        </x:is>
      </x:c>
      <x:c r="K10" s="7" t="inlineStr">
        <x:is>
          <x:t xml:space="preserve">Not Run</x:t>
        </x:is>
      </x:c>
      <x:c r="L10" s="17" t="inlineStr">
        <x:is>
          <x:t xml:space="preserve">Navigation and traceability</x:t>
        </x:is>
      </x:c>
    </x:row>
  </x:sheetData>
  <x:mergeCells>
    <x:mergeCell ref="A2:L2"/>
    <x:mergeCell ref="A1:L1"/>
  </x:mergeCells>
  <x:conditionalFormatting sqref="K5:K10">
    <x:cfRule type="expression" dxfId="0" priority="1">
      <x:formula>K5="Pass"</x:formula>
    </x:cfRule>
    <x:cfRule type="expression" dxfId="1" priority="2">
      <x:formula>K5="Fail"</x:formula>
    </x:cfRule>
    <x:cfRule type="expression" dxfId="2" priority="3">
      <x:formula>K5="Blocked"</x:formula>
    </x:cfRule>
  </x:conditionalFormatting>
  <x:conditionalFormatting sqref="H5:H10">
    <x:cfRule type="expression" dxfId="3" priority="4">
      <x:formula>H5="High"</x:formula>
    </x:cfRule>
  </x:conditionalFormatting>
  <x:dataValidations count="4">
    <x:dataValidation type="list" allowBlank="1" showDropDown="0" showInputMessage="0" showErrorMessage="0" sqref="H5:H10">
      <x:formula1>"High,Medium,Low"</x:formula1>
    </x:dataValidation>
    <x:dataValidation type="list" allowBlank="1" showDropDown="0" showInputMessage="0" showErrorMessage="0" sqref="I5:I10">
      <x:formula1>"Positive,Negative,Boundary,Security,Regression"</x:formula1>
    </x:dataValidation>
    <x:dataValidation type="list" allowBlank="1" showDropDown="0" showInputMessage="0" showErrorMessage="0" sqref="J5:J10">
      <x:formula1>"Yes,No,Later"</x:formula1>
    </x:dataValidation>
    <x:dataValidation type="list" allowBlank="1" showDropDown="0" showInputMessage="0" showErrorMessage="0" sqref="K5:K10">
      <x:formula1>"Not Run,Pass,Fail,Blocked"</x:formula1>
    </x:dataValidation>
  </x:dataValidations>
  <x:pageMargins left="0.7" right="0.7" top="0.75" bottom="0.75" header="0.3" footer="0.3"/>
  <x:legacyDrawing xmlns:r="http://schemas.openxmlformats.org/officeDocument/2006/relationships" r:id="Re45d30946d0b4cd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Funds Transfer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48" customHeight="1">
      <x:c r="A5" s="7" t="inlineStr">
        <x:is>
          <x:t xml:space="preserve">TC-FT-001</x:t>
        </x:is>
      </x:c>
      <x:c r="B5" s="7" t="inlineStr">
        <x:is>
          <x:t xml:space="preserve">Funds Transfer</x:t>
        </x:is>
      </x:c>
      <x:c r="C5" s="7" t="inlineStr">
        <x:is>
          <x:t xml:space="preserve">Valid funds transfer between two active accounts</x:t>
        </x:is>
      </x:c>
      <x:c r="D5" s="7" t="inlineStr">
        <x:is>
          <x:t xml:space="preserve">Debit and credit accounts are live and funded</x:t>
        </x:is>
      </x:c>
      <x:c r="E5" s="7" t="inlineStr">
        <x:is>
          <x:t xml:space="preserve">1. Open FT new deal
2. Enter transaction type, debit account, credit account, amount
3. Commit
4. Authorize
5. Review balances</x:t>
        </x:is>
      </x:c>
      <x:c r="F5" s="7" t="inlineStr">
        <x:is>
          <x:t xml:space="preserve">Debit 100099, Credit ACX, USD 100.00</x:t>
        </x:is>
      </x:c>
      <x:c r="G5" s="7" t="inlineStr">
        <x:is>
          <x:t xml:space="preserve">Debit account decreases, credit account increases, FT reaches LIVE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Yes</x:t>
        </x:is>
      </x:c>
      <x:c r="K5" s="7" t="inlineStr">
        <x:is>
          <x:t xml:space="preserve">Not Run</x:t>
        </x:is>
      </x:c>
      <x:c r="L5" s="17" t="inlineStr">
        <x:is>
          <x:t xml:space="preserve">Core transaction path</x:t>
        </x:is>
      </x:c>
    </x:row>
    <x:row r="6" ht="48" customHeight="1">
      <x:c r="A6" s="7" t="inlineStr">
        <x:is>
          <x:t xml:space="preserve">TC-FT-002</x:t>
        </x:is>
      </x:c>
      <x:c r="B6" s="7" t="inlineStr">
        <x:is>
          <x:t xml:space="preserve">Funds Transfer</x:t>
        </x:is>
      </x:c>
      <x:c r="C6" s="7" t="inlineStr">
        <x:is>
          <x:t xml:space="preserve">Insufficient funds validation</x:t>
        </x:is>
      </x:c>
      <x:c r="D6" s="7" t="inlineStr">
        <x:is>
          <x:t xml:space="preserve">Debit account balance below transfer amount</x:t>
        </x:is>
      </x:c>
      <x:c r="E6" s="7" t="inlineStr">
        <x:is>
          <x:t xml:space="preserve">1. Create FT with amount greater than available balance
2. Validate/Commit</x:t>
        </x:is>
      </x:c>
      <x:c r="F6" s="7" t="inlineStr">
        <x:is>
          <x:t xml:space="preserve">Amount &gt; available balance</x:t>
        </x:is>
      </x:c>
      <x:c r="G6" s="7" t="inlineStr">
        <x:is>
          <x:t xml:space="preserve">System rejects transaction or places it in exception flow per config</x:t>
        </x:is>
      </x:c>
      <x:c r="H6" s="7" t="inlineStr">
        <x:is>
          <x:t xml:space="preserve">High</x:t>
        </x:is>
      </x:c>
      <x:c r="I6" s="7" t="inlineStr">
        <x:is>
          <x:t xml:space="preserve">Negative</x:t>
        </x:is>
      </x:c>
      <x:c r="J6" s="7" t="inlineStr">
        <x:is>
          <x:t xml:space="preserve">Yes</x:t>
        </x:is>
      </x:c>
      <x:c r="K6" s="7" t="inlineStr">
        <x:is>
          <x:t xml:space="preserve">Not Run</x:t>
        </x:is>
      </x:c>
      <x:c r="L6" s="17" t="inlineStr">
        <x:is>
          <x:t xml:space="preserve">Financial control</x:t>
        </x:is>
      </x:c>
    </x:row>
    <x:row r="7" ht="48" customHeight="1">
      <x:c r="A7" s="7" t="inlineStr">
        <x:is>
          <x:t xml:space="preserve">TC-FT-003</x:t>
        </x:is>
      </x:c>
      <x:c r="B7" s="7" t="inlineStr">
        <x:is>
          <x:t xml:space="preserve">Funds Transfer</x:t>
        </x:is>
      </x:c>
      <x:c r="C7" s="7" t="inlineStr">
        <x:is>
          <x:t xml:space="preserve">Same debit and credit account not allowed</x:t>
        </x:is>
      </x:c>
      <x:c r="D7" s="7" t="inlineStr">
        <x:is>
          <x:t xml:space="preserve">Live account available</x:t>
        </x:is>
      </x:c>
      <x:c r="E7" s="7" t="inlineStr">
        <x:is>
          <x:t xml:space="preserve">1. Enter same account in debit and credit fields
2. Validate</x:t>
        </x:is>
      </x:c>
      <x:c r="F7" s="7" t="inlineStr">
        <x:is>
          <x:t xml:space="preserve">Debit=Credit=100099</x:t>
        </x:is>
      </x:c>
      <x:c r="G7" s="7" t="inlineStr">
        <x:is>
          <x:t xml:space="preserve">System blocks self-transfer if not supported by configuration</x:t>
        </x:is>
      </x:c>
      <x:c r="H7" s="7" t="inlineStr">
        <x:is>
          <x:t xml:space="preserve">High</x:t>
        </x:is>
      </x:c>
      <x:c r="I7" s="7" t="inlineStr">
        <x:is>
          <x:t xml:space="preserve">Negative</x:t>
        </x:is>
      </x:c>
      <x:c r="J7" s="7" t="inlineStr">
        <x:is>
          <x:t xml:space="preserve">Yes</x:t>
        </x:is>
      </x:c>
      <x:c r="K7" s="7" t="inlineStr">
        <x:is>
          <x:t xml:space="preserve">Not Run</x:t>
        </x:is>
      </x:c>
      <x:c r="L7" s="17" t="inlineStr">
        <x:is>
          <x:t xml:space="preserve">Duplicate leg prevention</x:t>
        </x:is>
      </x:c>
    </x:row>
    <x:row r="8" ht="48" customHeight="1">
      <x:c r="A8" s="7" t="inlineStr">
        <x:is>
          <x:t xml:space="preserve">TC-FT-004</x:t>
        </x:is>
      </x:c>
      <x:c r="B8" s="7" t="inlineStr">
        <x:is>
          <x:t xml:space="preserve">Funds Transfer</x:t>
        </x:is>
      </x:c>
      <x:c r="C8" s="7" t="inlineStr">
        <x:is>
          <x:t xml:space="preserve">Duplicate transaction detection</x:t>
        </x:is>
      </x:c>
      <x:c r="D8" s="7" t="inlineStr">
        <x:is>
          <x:t xml:space="preserve">Idempotency/duplication checks enabled</x:t>
        </x:is>
      </x:c>
      <x:c r="E8" s="7" t="inlineStr">
        <x:is>
          <x:t xml:space="preserve">1. Submit FT
2. Repeat same FT immediately with same key details</x:t>
        </x:is>
      </x:c>
      <x:c r="F8" s="7" t="inlineStr">
        <x:is>
          <x:t xml:space="preserve">Same accounts, amount, date, narrative</x:t>
        </x:is>
      </x:c>
      <x:c r="G8" s="7" t="inlineStr">
        <x:is>
          <x:t xml:space="preserve">System warns, blocks, or flags possible duplicate per bank rule</x:t>
        </x:is>
      </x:c>
      <x:c r="H8" s="7" t="inlineStr">
        <x:is>
          <x:t xml:space="preserve">High</x:t>
        </x:is>
      </x:c>
      <x:c r="I8" s="7" t="inlineStr">
        <x:is>
          <x:t xml:space="preserve">Negative</x:t>
        </x:is>
      </x:c>
      <x:c r="J8" s="7" t="inlineStr">
        <x:is>
          <x:t xml:space="preserve">Later</x:t>
        </x:is>
      </x:c>
      <x:c r="K8" s="7" t="inlineStr">
        <x:is>
          <x:t xml:space="preserve">Not Run</x:t>
        </x:is>
      </x:c>
      <x:c r="L8" s="17" t="inlineStr">
        <x:is>
          <x:t xml:space="preserve">Important fraud/ops case</x:t>
        </x:is>
      </x:c>
    </x:row>
    <x:row r="9" ht="48" customHeight="1">
      <x:c r="A9" s="7" t="inlineStr">
        <x:is>
          <x:t xml:space="preserve">TC-FT-005</x:t>
        </x:is>
      </x:c>
      <x:c r="B9" s="7" t="inlineStr">
        <x:is>
          <x:t xml:space="preserve">Funds Transfer</x:t>
        </x:is>
      </x:c>
      <x:c r="C9" s="7" t="inlineStr">
        <x:is>
          <x:t xml:space="preserve">Backdated value date behavior</x:t>
        </x:is>
      </x:c>
      <x:c r="D9" s="7" t="inlineStr">
        <x:is>
          <x:t xml:space="preserve">User allowed to enter prior value date</x:t>
        </x:is>
      </x:c>
      <x:c r="E9" s="7" t="inlineStr">
        <x:is>
          <x:t xml:space="preserve">1. Create FT
2. Set debit and credit value dates in the past
3. Validate/Commit</x:t>
        </x:is>
      </x:c>
      <x:c r="F9" s="7" t="inlineStr">
        <x:is>
          <x:t xml:space="preserve">Backdated value date</x:t>
        </x:is>
      </x:c>
      <x:c r="G9" s="7" t="inlineStr">
        <x:is>
          <x:t xml:space="preserve">System applies configured warning, override, or restriction correctly</x:t>
        </x:is>
      </x:c>
      <x:c r="H9" s="7" t="inlineStr">
        <x:is>
          <x:t xml:space="preserve">Medium</x:t>
        </x:is>
      </x:c>
      <x:c r="I9" s="7" t="inlineStr">
        <x:is>
          <x:t xml:space="preserve">Boundary</x:t>
        </x:is>
      </x:c>
      <x:c r="J9" s="7" t="inlineStr">
        <x:is>
          <x:t xml:space="preserve">Later</x:t>
        </x:is>
      </x:c>
      <x:c r="K9" s="7" t="inlineStr">
        <x:is>
          <x:t xml:space="preserve">Not Run</x:t>
        </x:is>
      </x:c>
      <x:c r="L9" s="17" t="inlineStr">
        <x:is>
          <x:t xml:space="preserve">Date rule coverage</x:t>
        </x:is>
      </x:c>
    </x:row>
    <x:row r="10" ht="48" customHeight="1">
      <x:c r="A10" s="7" t="inlineStr">
        <x:is>
          <x:t xml:space="preserve">TC-FT-006</x:t>
        </x:is>
      </x:c>
      <x:c r="B10" s="7" t="inlineStr">
        <x:is>
          <x:t xml:space="preserve">Funds Transfer</x:t>
        </x:is>
      </x:c>
      <x:c r="C10" s="7" t="inlineStr">
        <x:is>
          <x:t xml:space="preserve">Accounting entries available in enquiry</x:t>
        </x:is>
      </x:c>
      <x:c r="D10" s="7" t="inlineStr">
        <x:is>
          <x:t xml:space="preserve">Authorized FT already completed</x:t>
        </x:is>
      </x:c>
      <x:c r="E10" s="7" t="inlineStr">
        <x:is>
          <x:t xml:space="preserve">1. Capture FT ID
2. Open statement/accounting entry enquiry
3. Filter for account and date</x:t>
        </x:is>
      </x:c>
      <x:c r="F10" s="7" t="inlineStr">
        <x:is>
          <x:t xml:space="preserve">FT ID from TC-FT-001</x:t>
        </x:is>
      </x:c>
      <x:c r="G10" s="7" t="inlineStr">
        <x:is>
          <x:t xml:space="preserve">Accounting entries show balanced debit and credit postings</x:t>
        </x:is>
      </x:c>
      <x:c r="H10" s="7" t="inlineStr">
        <x:is>
          <x:t xml:space="preserve">High</x:t>
        </x:is>
      </x:c>
      <x:c r="I10" s="7" t="inlineStr">
        <x:is>
          <x:t xml:space="preserve">Regression</x:t>
        </x:is>
      </x:c>
      <x:c r="J10" s="7" t="inlineStr">
        <x:is>
          <x:t xml:space="preserve">No</x:t>
        </x:is>
      </x:c>
      <x:c r="K10" s="7" t="inlineStr">
        <x:is>
          <x:t xml:space="preserve">Not Run</x:t>
        </x:is>
      </x:c>
      <x:c r="L10" s="17" t="inlineStr">
        <x:is>
          <x:t xml:space="preserve">Reconciliation-focused</x:t>
        </x:is>
      </x:c>
    </x:row>
    <x:row r="11" ht="48" customHeight="1">
      <x:c r="A11" s="7" t="inlineStr">
        <x:is>
          <x:t xml:space="preserve">TC-FT-007</x:t>
        </x:is>
      </x:c>
      <x:c r="B11" s="7" t="inlineStr">
        <x:is>
          <x:t xml:space="preserve">Funds Transfer</x:t>
        </x:is>
      </x:c>
      <x:c r="C11" s="7" t="inlineStr">
        <x:is>
          <x:t xml:space="preserve">Unauthorized reversal blocked</x:t>
        </x:is>
      </x:c>
      <x:c r="D11" s="7" t="inlineStr">
        <x:is>
          <x:t xml:space="preserve">Restricted user available; FT is live</x:t>
        </x:is>
      </x:c>
      <x:c r="E11" s="7" t="inlineStr">
        <x:is>
          <x:t xml:space="preserve">1. Open live FT or related account transaction
2. Attempt reversal as user without right</x:t>
        </x:is>
      </x:c>
      <x:c r="F11" s="7" t="inlineStr">
        <x:is>
          <x:t xml:space="preserve">Authorized FT ID</x:t>
        </x:is>
      </x:c>
      <x:c r="G11" s="7" t="inlineStr">
        <x:is>
          <x:t xml:space="preserve">System denies reversal and maintains original posting</x:t>
        </x:is>
      </x:c>
      <x:c r="H11" s="7" t="inlineStr">
        <x:is>
          <x:t xml:space="preserve">High</x:t>
        </x:is>
      </x:c>
      <x:c r="I11" s="7" t="inlineStr">
        <x:is>
          <x:t xml:space="preserve">Security</x:t>
        </x:is>
      </x:c>
      <x:c r="J11" s="7" t="inlineStr">
        <x:is>
          <x:t xml:space="preserve">Later</x:t>
        </x:is>
      </x:c>
      <x:c r="K11" s="7" t="inlineStr">
        <x:is>
          <x:t xml:space="preserve">Not Run</x:t>
        </x:is>
      </x:c>
      <x:c r="L11" s="17" t="inlineStr">
        <x:is>
          <x:t xml:space="preserve">Segregation of duties</x:t>
        </x:is>
      </x:c>
    </x:row>
  </x:sheetData>
  <x:mergeCells>
    <x:mergeCell ref="A2:L2"/>
    <x:mergeCell ref="A1:L1"/>
  </x:mergeCells>
  <x:conditionalFormatting sqref="K5:K11">
    <x:cfRule type="expression" dxfId="0" priority="1">
      <x:formula>K5="Pass"</x:formula>
    </x:cfRule>
    <x:cfRule type="expression" dxfId="1" priority="2">
      <x:formula>K5="Fail"</x:formula>
    </x:cfRule>
    <x:cfRule type="expression" dxfId="2" priority="3">
      <x:formula>K5="Blocked"</x:formula>
    </x:cfRule>
  </x:conditionalFormatting>
  <x:conditionalFormatting sqref="H5:H11">
    <x:cfRule type="expression" dxfId="3" priority="4">
      <x:formula>H5="High"</x:formula>
    </x:cfRule>
  </x:conditionalFormatting>
  <x:dataValidations count="4">
    <x:dataValidation type="list" allowBlank="1" showDropDown="0" showInputMessage="0" showErrorMessage="0" sqref="H5:H11">
      <x:formula1>"High,Medium,Low"</x:formula1>
    </x:dataValidation>
    <x:dataValidation type="list" allowBlank="1" showDropDown="0" showInputMessage="0" showErrorMessage="0" sqref="I5:I11">
      <x:formula1>"Positive,Negative,Boundary,Security,Regression"</x:formula1>
    </x:dataValidation>
    <x:dataValidation type="list" allowBlank="1" showDropDown="0" showInputMessage="0" showErrorMessage="0" sqref="J5:J11">
      <x:formula1>"Yes,No,Later"</x:formula1>
    </x:dataValidation>
    <x:dataValidation type="list" allowBlank="1" showDropDown="0" showInputMessage="0" showErrorMessage="0" sqref="K5:K11">
      <x:formula1>"Not Run,Pass,Fail,Blocked"</x:formula1>
    </x:dataValidation>
  </x:dataValidations>
  <x:pageMargins left="0.7" right="0.7" top="0.75" bottom="0.75" header="0.3" footer="0.3"/>
  <x:legacyDrawing xmlns:r="http://schemas.openxmlformats.org/officeDocument/2006/relationships" r:id="R6d0f633773aa42d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5" customWidth="1"/>
    <x:col min="3" max="3" width="28" customWidth="1"/>
    <x:col min="4" max="4" width="24" customWidth="1"/>
    <x:col min="5" max="5" width="42" customWidth="1"/>
    <x:col min="6" max="6" width="24" customWidth="1"/>
    <x:col min="7" max="7" width="32" customWidth="1"/>
    <x:col min="8" max="8" width="12" customWidth="1"/>
    <x:col min="9" max="9" width="14" customWidth="1"/>
    <x:col min="10" max="10" width="18" customWidth="1"/>
    <x:col min="11" max="11" width="12" customWidth="1"/>
    <x:col min="12" max="12" width="24" customWidth="1"/>
  </x:cols>
  <x:sheetData>
    <x:row r="1">
      <x:c r="A1" s="16" t="inlineStr">
        <x:is>
          <x:t xml:space="preserve">End to End Test Cases</x:t>
        </x:is>
      </x:c>
    </x:row>
    <x:row r="2" ht="24" customHeight="1">
      <x:c r="A2" s="17" t="inlineStr">
        <x:is>
          <x:t xml:space="preserve">Update the Status column during execution. Summary KPIs and counts refresh automatically.</x:t>
        </x:is>
      </x:c>
    </x:row>
    <x:row r="4" ht="22" customHeight="1">
      <x:c r="A4" s="6" t="inlineStr">
        <x:is>
          <x:t xml:space="preserve">TC_ID</x:t>
        </x:is>
      </x:c>
      <x:c r="B4" s="6" t="inlineStr">
        <x:is>
          <x:t xml:space="preserve">Module</x:t>
        </x:is>
      </x:c>
      <x:c r="C4" s="6" t="inlineStr">
        <x:is>
          <x:t xml:space="preserve">Scenario</x:t>
        </x:is>
      </x:c>
      <x:c r="D4" s="6" t="inlineStr">
        <x:is>
          <x:t xml:space="preserve">Preconditions</x:t>
        </x:is>
      </x:c>
      <x:c r="E4" s="6" t="inlineStr">
        <x:is>
          <x:t xml:space="preserve">Steps</x:t>
        </x:is>
      </x:c>
      <x:c r="F4" s="6" t="inlineStr">
        <x:is>
          <x:t xml:space="preserve">Test Data</x:t>
        </x:is>
      </x:c>
      <x:c r="G4" s="6" t="inlineStr">
        <x:is>
          <x:t xml:space="preserve">Expected Result</x:t>
        </x:is>
      </x:c>
      <x:c r="H4" s="6" t="inlineStr">
        <x:is>
          <x:t xml:space="preserve">Priority</x:t>
        </x:is>
      </x:c>
      <x:c r="I4" s="6" t="inlineStr">
        <x:is>
          <x:t xml:space="preserve">Type</x:t>
        </x:is>
      </x:c>
      <x:c r="J4" s="6" t="inlineStr">
        <x:is>
          <x:t xml:space="preserve">Automation Candidate</x:t>
        </x:is>
      </x:c>
      <x:c r="K4" s="6" t="inlineStr">
        <x:is>
          <x:t xml:space="preserve">Status</x:t>
        </x:is>
      </x:c>
      <x:c r="L4" s="6" t="inlineStr">
        <x:is>
          <x:t xml:space="preserve">Notes</x:t>
        </x:is>
      </x:c>
    </x:row>
    <x:row r="5" ht="48" customHeight="1">
      <x:c r="A5" s="7" t="inlineStr">
        <x:is>
          <x:t xml:space="preserve">TC-E2E-001</x:t>
        </x:is>
      </x:c>
      <x:c r="B5" s="7" t="inlineStr">
        <x:is>
          <x:t xml:space="preserve">End-to-End</x:t>
        </x:is>
      </x:c>
      <x:c r="C5" s="7" t="inlineStr">
        <x:is>
          <x:t xml:space="preserve">Customer to Account to Funds Transfer happy path</x:t>
        </x:is>
      </x:c>
      <x:c r="D5" s="7" t="inlineStr">
        <x:is>
          <x:t xml:space="preserve">Maker/checker users available; product setup complete</x:t>
        </x:is>
      </x:c>
      <x:c r="E5" s="7" t="inlineStr">
        <x:is>
          <x:t xml:space="preserve">1. Create customer
2. Open current account
3. Fund account
4. Create FT to second account
5. Authorize all pending items
6. Check statement entries</x:t>
        </x:is>
      </x:c>
      <x:c r="F5" s="7" t="inlineStr">
        <x:is>
          <x:t xml:space="preserve">New CUx, ACx, FT amount 100</x:t>
        </x:is>
      </x:c>
      <x:c r="G5" s="7" t="inlineStr">
        <x:is>
          <x:t xml:space="preserve">All linked records are created successfully with consistent balances and audit trail</x:t>
        </x:is>
      </x:c>
      <x:c r="H5" s="7" t="inlineStr">
        <x:is>
          <x:t xml:space="preserve">High</x:t>
        </x:is>
      </x:c>
      <x:c r="I5" s="7" t="inlineStr">
        <x:is>
          <x:t xml:space="preserve">Positive</x:t>
        </x:is>
      </x:c>
      <x:c r="J5" s="7" t="inlineStr">
        <x:is>
          <x:t xml:space="preserve">Later</x:t>
        </x:is>
      </x:c>
      <x:c r="K5" s="7" t="inlineStr">
        <x:is>
          <x:t xml:space="preserve">Not Run</x:t>
        </x:is>
      </x:c>
      <x:c r="L5" s="17" t="inlineStr">
        <x:is>
          <x:t xml:space="preserve">Portfolio flagship scenario</x:t>
        </x:is>
      </x:c>
    </x:row>
    <x:row r="6" ht="48" customHeight="1">
      <x:c r="A6" s="7" t="inlineStr">
        <x:is>
          <x:t xml:space="preserve">TC-E2E-002</x:t>
        </x:is>
      </x:c>
      <x:c r="B6" s="7" t="inlineStr">
        <x:is>
          <x:t xml:space="preserve">End-to-End</x:t>
        </x:is>
      </x:c>
      <x:c r="C6" s="7" t="inlineStr">
        <x:is>
          <x:t xml:space="preserve">Authorization segregation across full flow</x:t>
        </x:is>
      </x:c>
      <x:c r="D6" s="7" t="inlineStr">
        <x:is>
          <x:t xml:space="preserve">Separate maker and checker users available</x:t>
        </x:is>
      </x:c>
      <x:c r="E6" s="7" t="inlineStr">
        <x:is>
          <x:t xml:space="preserve">1. Perform customer, account, and FT input as maker
2. Attempt checker action with unauthorized user
3. Retry with authorized checker</x:t>
        </x:is>
      </x:c>
      <x:c r="F6" s="7" t="inlineStr">
        <x:is>
          <x:t xml:space="preserve">Maker/Checker credentials</x:t>
        </x:is>
      </x:c>
      <x:c r="G6" s="7" t="inlineStr">
        <x:is>
          <x:t xml:space="preserve">Only authorized checker can move records to LIVE at each stage</x:t>
        </x:is>
      </x:c>
      <x:c r="H6" s="7" t="inlineStr">
        <x:is>
          <x:t xml:space="preserve">High</x:t>
        </x:is>
      </x:c>
      <x:c r="I6" s="7" t="inlineStr">
        <x:is>
          <x:t xml:space="preserve">Security</x:t>
        </x:is>
      </x:c>
      <x:c r="J6" s="7" t="inlineStr">
        <x:is>
          <x:t xml:space="preserve">Later</x:t>
        </x:is>
      </x:c>
      <x:c r="K6" s="7" t="inlineStr">
        <x:is>
          <x:t xml:space="preserve">Not Run</x:t>
        </x:is>
      </x:c>
      <x:c r="L6" s="17" t="inlineStr">
        <x:is>
          <x:t xml:space="preserve">Shows control design</x:t>
        </x:is>
      </x:c>
    </x:row>
    <x:row r="7" ht="48" customHeight="1">
      <x:c r="A7" s="7" t="inlineStr">
        <x:is>
          <x:t xml:space="preserve">TC-E2E-003</x:t>
        </x:is>
      </x:c>
      <x:c r="B7" s="7" t="inlineStr">
        <x:is>
          <x:t xml:space="preserve">End-to-End</x:t>
        </x:is>
      </x:c>
      <x:c r="C7" s="7" t="inlineStr">
        <x:is>
          <x:t xml:space="preserve">History and enquiry traceability after updates</x:t>
        </x:is>
      </x:c>
      <x:c r="D7" s="7" t="inlineStr">
        <x:is>
          <x:t xml:space="preserve">Existing live customer and account available</x:t>
        </x:is>
      </x:c>
      <x:c r="E7" s="7" t="inlineStr">
        <x:is>
          <x:t xml:space="preserve">1. Update customer and account data
2. Authorize changes
3. Review history and statement enquiries</x:t>
        </x:is>
      </x:c>
      <x:c r="F7" s="7" t="inlineStr">
        <x:is>
          <x:t xml:space="preserve">Address update + account title update</x:t>
        </x:is>
      </x:c>
      <x:c r="G7" s="7" t="inlineStr">
        <x:is>
          <x:t xml:space="preserve">History and enquiry outputs align with latest live state and prior versions</x:t>
        </x:is>
      </x:c>
      <x:c r="H7" s="7" t="inlineStr">
        <x:is>
          <x:t xml:space="preserve">Medium</x:t>
        </x:is>
      </x:c>
      <x:c r="I7" s="7" t="inlineStr">
        <x:is>
          <x:t xml:space="preserve">Regression</x:t>
        </x:is>
      </x:c>
      <x:c r="J7" s="7" t="inlineStr">
        <x:is>
          <x:t xml:space="preserve">No</x:t>
        </x:is>
      </x:c>
      <x:c r="K7" s="7" t="inlineStr">
        <x:is>
          <x:t xml:space="preserve">Not Run</x:t>
        </x:is>
      </x:c>
      <x:c r="L7" s="17" t="inlineStr">
        <x:is>
          <x:t xml:space="preserve">Audit and support case</x:t>
        </x:is>
      </x:c>
    </x:row>
  </x:sheetData>
  <x:mergeCells>
    <x:mergeCell ref="A2:L2"/>
    <x:mergeCell ref="A1:L1"/>
  </x:mergeCells>
  <x:conditionalFormatting sqref="K5:K7">
    <x:cfRule type="expression" dxfId="0" priority="1">
      <x:formula>K5="Pass"</x:formula>
    </x:cfRule>
    <x:cfRule type="expression" dxfId="1" priority="2">
      <x:formula>K5="Fail"</x:formula>
    </x:cfRule>
    <x:cfRule type="expression" dxfId="2" priority="3">
      <x:formula>K5="Blocked"</x:formula>
    </x:cfRule>
  </x:conditionalFormatting>
  <x:conditionalFormatting sqref="H5:H7">
    <x:cfRule type="expression" dxfId="3" priority="4">
      <x:formula>H5="High"</x:formula>
    </x:cfRule>
  </x:conditionalFormatting>
  <x:dataValidations count="4">
    <x:dataValidation type="list" allowBlank="1" showDropDown="0" showInputMessage="0" showErrorMessage="0" sqref="H5:H7">
      <x:formula1>"High,Medium,Low"</x:formula1>
    </x:dataValidation>
    <x:dataValidation type="list" allowBlank="1" showDropDown="0" showInputMessage="0" showErrorMessage="0" sqref="I5:I7">
      <x:formula1>"Positive,Negative,Boundary,Security,Regression"</x:formula1>
    </x:dataValidation>
    <x:dataValidation type="list" allowBlank="1" showDropDown="0" showInputMessage="0" showErrorMessage="0" sqref="J5:J7">
      <x:formula1>"Yes,No,Later"</x:formula1>
    </x:dataValidation>
    <x:dataValidation type="list" allowBlank="1" showDropDown="0" showInputMessage="0" showErrorMessage="0" sqref="K5:K7">
      <x:formula1>"Not Run,Pass,Fail,Blocked"</x:formula1>
    </x:dataValidation>
  </x:dataValidations>
  <x:pageMargins left="0.7" right="0.7" top="0.75" bottom="0.75" header="0.3" footer="0.3"/>
  <x:legacyDrawing xmlns:r="http://schemas.openxmlformats.org/officeDocument/2006/relationships" r:id="Rd993137da7e74ca3"/>
</x:worksheet>
</file>